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SCO_Calcs" sheetId="3" state="visible" r:id="rId3"/>
    <sheet xmlns:r="http://schemas.openxmlformats.org/officeDocument/2006/relationships" name="EPlus_Results" sheetId="4" state="visible" r:id="rId4"/>
    <sheet xmlns:r="http://schemas.openxmlformats.org/officeDocument/2006/relationships" name="Compare" sheetId="5" state="visible" r:id="rId5"/>
    <sheet xmlns:r="http://schemas.openxmlformats.org/officeDocument/2006/relationships" name="ROI_Capital" sheetId="6" state="visible" r:id="rId6"/>
    <sheet xmlns:r="http://schemas.openxmlformats.org/officeDocument/2006/relationships" name="Guardrails" sheetId="7" state="visible" r:id="rId7"/>
    <sheet xmlns:r="http://schemas.openxmlformats.org/officeDocument/2006/relationships" name="Docs" sheetId="8" state="visible" r:id="rId8"/>
  </sheets>
  <definedNames>
    <definedName name="inp_area_ft2">'Inputs'!$B$2</definedName>
    <definedName name="inp_cooling_tons">'Inputs'!$B$3</definedName>
    <definedName name="inp_fan_hp">'Inputs'!$B$4</definedName>
    <definedName name="inp_elec_rate">'Inputs'!$B$5</definedName>
    <definedName name="inp_gas_rate">'Inputs'!$B$6</definedName>
    <definedName name="inp_discount">'Inputs'!$B$7</definedName>
    <definedName name="inp_escalation">'Inputs'!$B$8</definedName>
    <definedName name="inp_life_years">'Inputs'!$B$9</definedName>
    <definedName name="inp_usd_per_ft2">'Inputs'!$B$10</definedName>
    <definedName name="inp_coverage">'Inputs'!$B$11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WattLab Engineering Notebook</t>
        </is>
      </c>
    </row>
    <row r="2">
      <c r="A2" t="inlineStr">
        <is>
          <t>ECM package screening (ESCO bin-method vs EnergyPlus)</t>
        </is>
      </c>
    </row>
    <row r="4">
      <c r="A4" t="inlineStr">
        <is>
          <t>Building</t>
        </is>
      </c>
      <c r="B4" t="inlineStr">
        <is>
          <t>BUILDING</t>
        </is>
      </c>
    </row>
    <row r="5">
      <c r="A5" t="inlineStr">
        <is>
          <t>Package id</t>
        </is>
      </c>
      <c r="B5" t="inlineStr">
        <is>
          <t>controls_first</t>
        </is>
      </c>
    </row>
    <row r="6">
      <c r="A6" t="inlineStr">
        <is>
          <t>Package</t>
        </is>
      </c>
      <c r="B6" t="inlineStr">
        <is>
          <t>1 · Controls-first (no capital RCx)</t>
        </is>
      </c>
    </row>
    <row r="7">
      <c r="A7" t="inlineStr">
        <is>
          <t>Honesty</t>
        </is>
      </c>
      <c r="B7" t="inlineStr">
        <is>
          <t>screening — schedules / sensors / standby+DCV</t>
        </is>
      </c>
    </row>
    <row r="8">
      <c r="A8" t="inlineStr">
        <is>
          <t>Generated (UTC)</t>
        </is>
      </c>
      <c r="B8" t="inlineStr">
        <is>
          <t>2026-07-25T19:56:47Z</t>
        </is>
      </c>
    </row>
    <row r="9">
      <c r="A9" t="inlineStr">
        <is>
          <t>Catalog package</t>
        </is>
      </c>
      <c r="B9" t="inlineStr">
        <is>
          <t>no-capital-rcx</t>
        </is>
      </c>
    </row>
    <row r="10">
      <c r="A10" t="inlineStr">
        <is>
          <t>n_measures</t>
        </is>
      </c>
      <c r="B10" t="n">
        <v>7</v>
      </c>
    </row>
    <row r="11">
      <c r="A11" t="inlineStr">
        <is>
          <t>Guardrail verdict</t>
        </is>
      </c>
      <c r="B11" t="inlineStr">
        <is>
          <t>INVESTIGATE</t>
        </is>
      </c>
    </row>
    <row r="12">
      <c r="A12" t="inlineStr">
        <is>
          <t>ESCO docs</t>
        </is>
      </c>
      <c r="B12" t="inlineStr">
        <is>
          <t>https://github.com/bbartling/py-bacnet-stacks-playground/blob/develop/vibe_code_apps_20/docs/ESCO_SPREADSHEET_CALCS.md</t>
        </is>
      </c>
    </row>
    <row r="13">
      <c r="A13" t="inlineStr">
        <is>
          <t>Note</t>
        </is>
      </c>
      <c r="B13" t="inlineStr">
        <is>
          <t>Yellow cells on Inputs are engineer-editable. ESCO_Calcs / Compare / ROI use formulas where marked.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4" max="4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notes</t>
        </is>
      </c>
    </row>
    <row r="2">
      <c r="A2" t="inlineStr">
        <is>
          <t>area_ft2</t>
        </is>
      </c>
      <c r="B2" s="3" t="n">
        <v>50000</v>
      </c>
      <c r="C2" t="inlineStr">
        <is>
          <t>ft²</t>
        </is>
      </c>
      <c r="D2" t="inlineStr">
        <is>
          <t>Conditioned floor area</t>
        </is>
      </c>
    </row>
    <row r="3">
      <c r="A3" t="inlineStr">
        <is>
          <t>cooling_tons</t>
        </is>
      </c>
      <c r="B3" s="3" t="inlineStr"/>
      <c r="C3" t="inlineStr">
        <is>
          <t>tons</t>
        </is>
      </c>
      <c r="D3" t="inlineStr">
        <is>
          <t>Optional nameplate</t>
        </is>
      </c>
    </row>
    <row r="4">
      <c r="A4" t="inlineStr">
        <is>
          <t>fan_hp</t>
        </is>
      </c>
      <c r="B4" s="3" t="inlineStr"/>
      <c r="C4" t="inlineStr">
        <is>
          <t>HP</t>
        </is>
      </c>
      <c r="D4" t="inlineStr">
        <is>
          <t>Optional supply fan</t>
        </is>
      </c>
    </row>
    <row r="5">
      <c r="A5" t="inlineStr">
        <is>
          <t>elec_rate</t>
        </is>
      </c>
      <c r="B5" s="3" t="n">
        <v>0.12</v>
      </c>
      <c r="C5" t="inlineStr">
        <is>
          <t>$/kWh</t>
        </is>
      </c>
      <c r="D5" t="inlineStr">
        <is>
          <t>Blended electric rate</t>
        </is>
      </c>
    </row>
    <row r="6">
      <c r="A6" t="inlineStr">
        <is>
          <t>gas_rate</t>
        </is>
      </c>
      <c r="B6" s="3" t="n">
        <v>0.8</v>
      </c>
      <c r="C6" t="inlineStr">
        <is>
          <t>$/therm</t>
        </is>
      </c>
      <c r="D6" t="inlineStr">
        <is>
          <t>Blended gas rate</t>
        </is>
      </c>
    </row>
    <row r="7">
      <c r="A7" t="inlineStr">
        <is>
          <t>discount</t>
        </is>
      </c>
      <c r="B7" s="3" t="n">
        <v>0.05</v>
      </c>
      <c r="C7" t="inlineStr">
        <is>
          <t>fraction</t>
        </is>
      </c>
      <c r="D7" t="inlineStr">
        <is>
          <t>NPV discount rate</t>
        </is>
      </c>
    </row>
    <row r="8">
      <c r="A8" t="inlineStr">
        <is>
          <t>escalation</t>
        </is>
      </c>
      <c r="B8" s="3" t="n">
        <v>0.02</v>
      </c>
      <c r="C8" t="inlineStr">
        <is>
          <t>fraction</t>
        </is>
      </c>
      <c r="D8" t="inlineStr">
        <is>
          <t>Utility escalation</t>
        </is>
      </c>
    </row>
    <row r="9">
      <c r="A9" t="inlineStr">
        <is>
          <t>life_years</t>
        </is>
      </c>
      <c r="B9" s="3" t="n">
        <v>15</v>
      </c>
      <c r="C9" t="inlineStr">
        <is>
          <t>yr</t>
        </is>
      </c>
      <c r="D9" t="inlineStr">
        <is>
          <t>Measure life</t>
        </is>
      </c>
    </row>
    <row r="10">
      <c r="A10" t="inlineStr">
        <is>
          <t>usd_per_ft2</t>
        </is>
      </c>
      <c r="B10" s="3" t="n">
        <v>3</v>
      </c>
      <c r="C10" t="inlineStr">
        <is>
          <t>$/ft²</t>
        </is>
      </c>
      <c r="D10" t="inlineStr">
        <is>
          <t>Fallback package cost intensity</t>
        </is>
      </c>
    </row>
    <row r="11">
      <c r="A11" t="inlineStr">
        <is>
          <t>coverage</t>
        </is>
      </c>
      <c r="B11" s="3" t="n">
        <v>1</v>
      </c>
      <c r="C11" t="inlineStr">
        <is>
          <t>0–1</t>
        </is>
      </c>
      <c r="D11" t="inlineStr">
        <is>
          <t>Fraction of floor area receiving ECMs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4" max="4"/>
    <col width="28" customWidth="1" min="5" max="5"/>
    <col width="48" customWidth="1" min="6" max="6"/>
  </cols>
  <sheetData>
    <row r="1">
      <c r="A1" s="2" t="inlineStr">
        <is>
          <t>measure_id</t>
        </is>
      </c>
      <c r="B1" s="2" t="inlineStr">
        <is>
          <t>savings_kwh</t>
        </is>
      </c>
      <c r="C1" s="2" t="inlineStr">
        <is>
          <t>savings_therms</t>
        </is>
      </c>
      <c r="D1" s="2" t="inlineStr">
        <is>
          <t>calculators</t>
        </is>
      </c>
      <c r="E1" s="2" t="inlineStr">
        <is>
          <t>annual_cost_saved_formula</t>
        </is>
      </c>
      <c r="F1" s="2" t="inlineStr">
        <is>
          <t>notes</t>
        </is>
      </c>
    </row>
    <row r="2">
      <c r="A2" t="inlineStr">
        <is>
          <t>ECM-AHU-SCHED-ALIGN</t>
        </is>
      </c>
      <c r="B2" t="n">
        <v>277595.8</v>
      </c>
      <c r="C2" t="n">
        <v>5845.4</v>
      </c>
      <c r="D2" t="inlineStr"/>
      <c r="E2">
        <f>B2*inp_elec_rate+C2*inp_gas_rate</f>
        <v/>
      </c>
      <c r="F2" t="inlineStr">
        <is>
          <t>Screening proxy from wattlab.studio.proxies / bench ESCO bins</t>
        </is>
      </c>
    </row>
    <row r="3">
      <c r="A3" t="inlineStr">
        <is>
          <t>ECM-OA-DAMPER-REPAIR</t>
        </is>
      </c>
      <c r="B3" t="n">
        <v>0</v>
      </c>
      <c r="C3" t="n">
        <v>0</v>
      </c>
      <c r="D3" t="inlineStr"/>
      <c r="E3">
        <f>B3*inp_elec_rate+C3*inp_gas_rate</f>
        <v/>
      </c>
      <c r="F3" t="inlineStr">
        <is>
          <t>Screening proxy from wattlab.studio.proxies / bench ESCO bins</t>
        </is>
      </c>
    </row>
    <row r="4">
      <c r="A4" t="inlineStr">
        <is>
          <t>ECM-SENSOR-CRITICAL-REFRESH</t>
        </is>
      </c>
      <c r="B4" t="n">
        <v>0</v>
      </c>
      <c r="C4" t="n">
        <v>0</v>
      </c>
      <c r="D4" t="inlineStr"/>
      <c r="E4">
        <f>B4*inp_elec_rate+C4*inp_gas_rate</f>
        <v/>
      </c>
      <c r="F4" t="inlineStr">
        <is>
          <t>Screening proxy from wattlab.studio.proxies / bench ESCO bins</t>
        </is>
      </c>
    </row>
    <row r="5">
      <c r="A5" t="inlineStr">
        <is>
          <t>ECM-OCC-STANDBY-DCV</t>
        </is>
      </c>
      <c r="B5" t="n">
        <v>46111.2</v>
      </c>
      <c r="C5" t="n">
        <v>5042.8</v>
      </c>
      <c r="D5" t="inlineStr">
        <is>
          <t>oad_unoccupied_closed,dcv_bins</t>
        </is>
      </c>
      <c r="E5">
        <f>B5*inp_elec_rate+C5*inp_gas_rate</f>
        <v/>
      </c>
      <c r="F5" t="inlineStr">
        <is>
          <t>Screening proxy from wattlab.studio.proxies / bench ESCO bins</t>
        </is>
      </c>
    </row>
    <row r="6">
      <c r="A6" t="inlineStr">
        <is>
          <t>ECM-CHILLER-LOCKOUT</t>
        </is>
      </c>
      <c r="B6" t="n">
        <v>34524.9</v>
      </c>
      <c r="C6" t="n">
        <v>0</v>
      </c>
      <c r="D6" t="inlineStr"/>
      <c r="E6">
        <f>B6*inp_elec_rate+C6*inp_gas_rate</f>
        <v/>
      </c>
      <c r="F6" t="inlineStr">
        <is>
          <t>Screening proxy from wattlab.studio.proxies / bench ESCO bins</t>
        </is>
      </c>
    </row>
    <row r="7">
      <c r="A7" t="inlineStr">
        <is>
          <t>ECM-SENSOR-CALIBRATION</t>
        </is>
      </c>
      <c r="B7" t="n">
        <v>0</v>
      </c>
      <c r="C7" t="n">
        <v>0</v>
      </c>
      <c r="D7" t="inlineStr"/>
      <c r="E7">
        <f>B7*inp_elec_rate+C7*inp_gas_rate</f>
        <v/>
      </c>
      <c r="F7" t="inlineStr">
        <is>
          <t>Screening proxy from wattlab.studio.proxies / bench ESCO bins</t>
        </is>
      </c>
    </row>
    <row r="8">
      <c r="A8" t="inlineStr">
        <is>
          <t>ECM-RCX-SETPOINT-REVIEW</t>
        </is>
      </c>
      <c r="B8" t="n">
        <v>277595.8</v>
      </c>
      <c r="C8" t="n">
        <v>5845.4</v>
      </c>
      <c r="D8" t="inlineStr"/>
      <c r="E8">
        <f>B8*inp_elec_rate+C8*inp_gas_rate</f>
        <v/>
      </c>
      <c r="F8" t="inlineStr">
        <is>
          <t>Screening proxy from wattlab.studio.proxies / bench ESCO bins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5" max="5"/>
  </cols>
  <sheetData>
    <row r="1">
      <c r="A1" s="2" t="inlineStr">
        <is>
          <t>measure_id</t>
        </is>
      </c>
      <c r="B1" s="2" t="inlineStr">
        <is>
          <t>kwh_saved</t>
        </is>
      </c>
      <c r="C1" s="2" t="inlineStr">
        <is>
          <t>therms_saved</t>
        </is>
      </c>
      <c r="D1" s="2" t="inlineStr">
        <is>
          <t>peak_kw_delta</t>
        </is>
      </c>
      <c r="E1" s="2" t="inlineStr">
        <is>
          <t>source</t>
        </is>
      </c>
    </row>
    <row r="2">
      <c r="A2" t="inlineStr">
        <is>
          <t>ECM-AHU-SCHED-ALIGN</t>
        </is>
      </c>
      <c r="E2" t="inlineStr">
        <is>
          <t>E+ not run — ESCO only</t>
        </is>
      </c>
    </row>
    <row r="3">
      <c r="A3" t="inlineStr">
        <is>
          <t>ECM-OA-DAMPER-REPAIR</t>
        </is>
      </c>
      <c r="E3" t="inlineStr">
        <is>
          <t>E+ not run — ESCO only</t>
        </is>
      </c>
    </row>
    <row r="4">
      <c r="A4" t="inlineStr">
        <is>
          <t>ECM-SENSOR-CRITICAL-REFRESH</t>
        </is>
      </c>
      <c r="E4" t="inlineStr">
        <is>
          <t>E+ not run — ESCO only</t>
        </is>
      </c>
    </row>
    <row r="5">
      <c r="A5" t="inlineStr">
        <is>
          <t>ECM-OCC-STANDBY-DCV</t>
        </is>
      </c>
      <c r="E5" t="inlineStr">
        <is>
          <t>E+ not run — ESCO only</t>
        </is>
      </c>
    </row>
    <row r="6">
      <c r="A6" t="inlineStr">
        <is>
          <t>ECM-CHILLER-LOCKOUT</t>
        </is>
      </c>
      <c r="E6" t="inlineStr">
        <is>
          <t>E+ not run — ESCO only</t>
        </is>
      </c>
    </row>
    <row r="7">
      <c r="A7" t="inlineStr">
        <is>
          <t>ECM-SENSOR-CALIBRATION</t>
        </is>
      </c>
      <c r="E7" t="inlineStr">
        <is>
          <t>E+ not run — ESCO only</t>
        </is>
      </c>
    </row>
    <row r="8">
      <c r="A8" t="inlineStr">
        <is>
          <t>ECM-RCX-SETPOINT-REVIEW</t>
        </is>
      </c>
      <c r="E8" t="inlineStr">
        <is>
          <t>E+ not run — ESCO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measure_id</t>
        </is>
      </c>
      <c r="B1" s="2" t="inlineStr">
        <is>
          <t>esco_kwh</t>
        </is>
      </c>
      <c r="C1" s="2" t="inlineStr">
        <is>
          <t>ep_kwh</t>
        </is>
      </c>
      <c r="D1" s="2" t="inlineStr">
        <is>
          <t>delta_kwh</t>
        </is>
      </c>
      <c r="E1" s="2" t="inlineStr">
        <is>
          <t>ratio_ep_esco</t>
        </is>
      </c>
      <c r="F1" s="2" t="inlineStr">
        <is>
          <t>esco_therms</t>
        </is>
      </c>
      <c r="G1" s="2" t="inlineStr">
        <is>
          <t>ep_therms</t>
        </is>
      </c>
      <c r="H1" s="2" t="inlineStr">
        <is>
          <t>verdict</t>
        </is>
      </c>
      <c r="I1" s="2" t="inlineStr">
        <is>
          <t>light</t>
        </is>
      </c>
    </row>
    <row r="2">
      <c r="A2" t="inlineStr">
        <is>
          <t>ECM-AHU-SCHED-ALIGN</t>
        </is>
      </c>
      <c r="B2">
        <f>ESCO_Calcs!B2</f>
        <v/>
      </c>
      <c r="C2">
        <f>EPlus_Results!B2</f>
        <v/>
      </c>
      <c r="D2">
        <f>IF(OR(C2="",C2=0),"",C2-B2)</f>
        <v/>
      </c>
      <c r="E2">
        <f>IF(OR(B2=0,C2=""),"",C2/B2)</f>
        <v/>
      </c>
      <c r="F2">
        <f>ESCO_Calcs!C2</f>
        <v/>
      </c>
      <c r="G2">
        <f>EPlus_Results!C2</f>
        <v/>
      </c>
      <c r="H2" t="inlineStr">
        <is>
          <t>INSUFFICIENT_EVIDENCE</t>
        </is>
      </c>
      <c r="I2" t="inlineStr">
        <is>
          <t>YELLOW</t>
        </is>
      </c>
    </row>
    <row r="3">
      <c r="A3" t="inlineStr">
        <is>
          <t>ECM-OA-DAMPER-REPAIR</t>
        </is>
      </c>
      <c r="B3">
        <f>ESCO_Calcs!B3</f>
        <v/>
      </c>
      <c r="C3">
        <f>EPlus_Results!B3</f>
        <v/>
      </c>
      <c r="D3">
        <f>IF(OR(C3="",C3=0),"",C3-B3)</f>
        <v/>
      </c>
      <c r="E3">
        <f>IF(OR(B3=0,C3=""),"",C3/B3)</f>
        <v/>
      </c>
      <c r="F3">
        <f>ESCO_Calcs!C3</f>
        <v/>
      </c>
      <c r="G3">
        <f>EPlus_Results!C3</f>
        <v/>
      </c>
      <c r="H3" t="inlineStr">
        <is>
          <t>INSUFFICIENT_EVIDENCE</t>
        </is>
      </c>
      <c r="I3" t="inlineStr">
        <is>
          <t>YELLOW</t>
        </is>
      </c>
    </row>
    <row r="4">
      <c r="A4" t="inlineStr">
        <is>
          <t>ECM-SENSOR-CRITICAL-REFRESH</t>
        </is>
      </c>
      <c r="B4">
        <f>ESCO_Calcs!B4</f>
        <v/>
      </c>
      <c r="C4">
        <f>EPlus_Results!B4</f>
        <v/>
      </c>
      <c r="D4">
        <f>IF(OR(C4="",C4=0),"",C4-B4)</f>
        <v/>
      </c>
      <c r="E4">
        <f>IF(OR(B4=0,C4=""),"",C4/B4)</f>
        <v/>
      </c>
      <c r="F4">
        <f>ESCO_Calcs!C4</f>
        <v/>
      </c>
      <c r="G4">
        <f>EPlus_Results!C4</f>
        <v/>
      </c>
      <c r="H4" t="inlineStr">
        <is>
          <t>INSUFFICIENT_EVIDENCE</t>
        </is>
      </c>
      <c r="I4" t="inlineStr">
        <is>
          <t>YELLOW</t>
        </is>
      </c>
    </row>
    <row r="5">
      <c r="A5" t="inlineStr">
        <is>
          <t>ECM-OCC-STANDBY-DCV</t>
        </is>
      </c>
      <c r="B5">
        <f>ESCO_Calcs!B5</f>
        <v/>
      </c>
      <c r="C5">
        <f>EPlus_Results!B5</f>
        <v/>
      </c>
      <c r="D5">
        <f>IF(OR(C5="",C5=0),"",C5-B5)</f>
        <v/>
      </c>
      <c r="E5">
        <f>IF(OR(B5=0,C5=""),"",C5/B5)</f>
        <v/>
      </c>
      <c r="F5">
        <f>ESCO_Calcs!C5</f>
        <v/>
      </c>
      <c r="G5">
        <f>EPlus_Results!C5</f>
        <v/>
      </c>
      <c r="H5" t="inlineStr">
        <is>
          <t>INSUFFICIENT_EVIDENCE</t>
        </is>
      </c>
      <c r="I5" t="inlineStr">
        <is>
          <t>YELLOW</t>
        </is>
      </c>
    </row>
    <row r="6">
      <c r="A6" t="inlineStr">
        <is>
          <t>ECM-CHILLER-LOCKOUT</t>
        </is>
      </c>
      <c r="B6">
        <f>ESCO_Calcs!B6</f>
        <v/>
      </c>
      <c r="C6">
        <f>EPlus_Results!B6</f>
        <v/>
      </c>
      <c r="D6">
        <f>IF(OR(C6="",C6=0),"",C6-B6)</f>
        <v/>
      </c>
      <c r="E6">
        <f>IF(OR(B6=0,C6=""),"",C6/B6)</f>
        <v/>
      </c>
      <c r="F6">
        <f>ESCO_Calcs!C6</f>
        <v/>
      </c>
      <c r="G6">
        <f>EPlus_Results!C6</f>
        <v/>
      </c>
      <c r="H6" t="inlineStr">
        <is>
          <t>INSUFFICIENT_EVIDENCE</t>
        </is>
      </c>
      <c r="I6" t="inlineStr">
        <is>
          <t>YELLOW</t>
        </is>
      </c>
    </row>
    <row r="7">
      <c r="A7" t="inlineStr">
        <is>
          <t>ECM-SENSOR-CALIBRATION</t>
        </is>
      </c>
      <c r="B7">
        <f>ESCO_Calcs!B7</f>
        <v/>
      </c>
      <c r="C7">
        <f>EPlus_Results!B7</f>
        <v/>
      </c>
      <c r="D7">
        <f>IF(OR(C7="",C7=0),"",C7-B7)</f>
        <v/>
      </c>
      <c r="E7">
        <f>IF(OR(B7=0,C7=""),"",C7/B7)</f>
        <v/>
      </c>
      <c r="F7">
        <f>ESCO_Calcs!C7</f>
        <v/>
      </c>
      <c r="G7">
        <f>EPlus_Results!C7</f>
        <v/>
      </c>
      <c r="H7" t="inlineStr">
        <is>
          <t>INSUFFICIENT_EVIDENCE</t>
        </is>
      </c>
      <c r="I7" t="inlineStr">
        <is>
          <t>YELLOW</t>
        </is>
      </c>
    </row>
    <row r="8">
      <c r="A8" t="inlineStr">
        <is>
          <t>ECM-RCX-SETPOINT-REVIEW</t>
        </is>
      </c>
      <c r="B8">
        <f>ESCO_Calcs!B8</f>
        <v/>
      </c>
      <c r="C8">
        <f>EPlus_Results!B8</f>
        <v/>
      </c>
      <c r="D8">
        <f>IF(OR(C8="",C8=0),"",C8-B8)</f>
        <v/>
      </c>
      <c r="E8">
        <f>IF(OR(B8=0,C8=""),"",C8/B8)</f>
        <v/>
      </c>
      <c r="F8">
        <f>ESCO_Calcs!C8</f>
        <v/>
      </c>
      <c r="G8">
        <f>EPlus_Results!C8</f>
        <v/>
      </c>
      <c r="H8" t="inlineStr">
        <is>
          <t>INSUFFICIENT_EVIDENCE</t>
        </is>
      </c>
      <c r="I8" t="inlineStr">
        <is>
          <t>YELLOW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8" max="8"/>
  </cols>
  <sheetData>
    <row r="1">
      <c r="A1" s="2" t="inlineStr">
        <is>
          <t>measure_id</t>
        </is>
      </c>
      <c r="B1" s="2" t="inlineStr">
        <is>
          <t>implementation_cost_usd</t>
        </is>
      </c>
      <c r="C1" s="2" t="inlineStr">
        <is>
          <t>kwh_saved</t>
        </is>
      </c>
      <c r="D1" s="2" t="inlineStr">
        <is>
          <t>therms_saved</t>
        </is>
      </c>
      <c r="E1" s="2" t="inlineStr">
        <is>
          <t>annual_cost_saved_usd</t>
        </is>
      </c>
      <c r="F1" s="2" t="inlineStr">
        <is>
          <t>simple_payback_years</t>
        </is>
      </c>
      <c r="G1" s="2" t="inlineStr">
        <is>
          <t>npv_usd</t>
        </is>
      </c>
      <c r="H1" s="2" t="inlineStr">
        <is>
          <t>cost_formula</t>
        </is>
      </c>
    </row>
    <row r="2">
      <c r="A2" t="inlineStr">
        <is>
          <t>ECM-AHU-SCHED-ALIGN</t>
        </is>
      </c>
      <c r="B2" s="3" t="n">
        <v>150000</v>
      </c>
      <c r="C2" t="n">
        <v>277595.8</v>
      </c>
      <c r="D2" t="n">
        <v>5845.4</v>
      </c>
      <c r="E2">
        <f>C2*inp_elec_rate+D2*inp_gas_rate</f>
        <v/>
      </c>
      <c r="F2">
        <f>IF(E2=0,"",B2/E2)</f>
        <v/>
      </c>
      <c r="G2" t="n">
        <v>296501.59</v>
      </c>
      <c r="H2">
        <f>inp_usd_per_ft2*inp_area_ft2*inp_coverage/7</f>
        <v/>
      </c>
    </row>
    <row r="3">
      <c r="A3" t="inlineStr">
        <is>
          <t>ECM-OA-DAMPER-REPAIR</t>
        </is>
      </c>
      <c r="B3" s="3" t="n">
        <v>150000</v>
      </c>
      <c r="C3" t="n">
        <v>0</v>
      </c>
      <c r="D3" t="n">
        <v>0</v>
      </c>
      <c r="E3">
        <f>C3*inp_elec_rate+D3*inp_gas_rate</f>
        <v/>
      </c>
      <c r="F3">
        <f>IF(E3=0,"",B3/E3)</f>
        <v/>
      </c>
      <c r="G3" t="n">
        <v>-150000</v>
      </c>
      <c r="H3">
        <f>inp_usd_per_ft2*inp_area_ft2*inp_coverage/7</f>
        <v/>
      </c>
    </row>
    <row r="4">
      <c r="A4" t="inlineStr">
        <is>
          <t>ECM-SENSOR-CRITICAL-REFRESH</t>
        </is>
      </c>
      <c r="B4" s="3" t="n">
        <v>150000</v>
      </c>
      <c r="C4" t="n">
        <v>0</v>
      </c>
      <c r="D4" t="n">
        <v>0</v>
      </c>
      <c r="E4">
        <f>C4*inp_elec_rate+D4*inp_gas_rate</f>
        <v/>
      </c>
      <c r="F4">
        <f>IF(E4=0,"",B4/E4)</f>
        <v/>
      </c>
      <c r="G4" t="n">
        <v>-150000</v>
      </c>
      <c r="H4">
        <f>inp_usd_per_ft2*inp_area_ft2*inp_coverage/7</f>
        <v/>
      </c>
    </row>
    <row r="5">
      <c r="A5" t="inlineStr">
        <is>
          <t>ECM-OCC-STANDBY-DCV</t>
        </is>
      </c>
      <c r="B5" s="3" t="n">
        <v>150000</v>
      </c>
      <c r="C5" t="n">
        <v>46111.2</v>
      </c>
      <c r="D5" t="n">
        <v>5042.8</v>
      </c>
      <c r="E5">
        <f>C5*inp_elec_rate+D5*inp_gas_rate</f>
        <v/>
      </c>
      <c r="F5">
        <f>IF(E5=0,"",B5/E5)</f>
        <v/>
      </c>
      <c r="G5" t="n">
        <v>-37544.43</v>
      </c>
      <c r="H5">
        <f>inp_usd_per_ft2*inp_area_ft2*inp_coverage/7</f>
        <v/>
      </c>
    </row>
    <row r="6">
      <c r="A6" t="inlineStr">
        <is>
          <t>ECM-CHILLER-LOCKOUT</t>
        </is>
      </c>
      <c r="B6" s="3" t="n">
        <v>150000</v>
      </c>
      <c r="C6" t="n">
        <v>34524.9</v>
      </c>
      <c r="D6" t="n">
        <v>0</v>
      </c>
      <c r="E6">
        <f>C6*inp_elec_rate+D6*inp_gas_rate</f>
        <v/>
      </c>
      <c r="F6">
        <f>IF(E6=0,"",B6/E6)</f>
        <v/>
      </c>
      <c r="G6" t="n">
        <v>-101304.1</v>
      </c>
      <c r="H6">
        <f>inp_usd_per_ft2*inp_area_ft2*inp_coverage/7</f>
        <v/>
      </c>
    </row>
    <row r="7">
      <c r="A7" t="inlineStr">
        <is>
          <t>ECM-SENSOR-CALIBRATION</t>
        </is>
      </c>
      <c r="B7" s="3" t="n">
        <v>150000</v>
      </c>
      <c r="C7" t="n">
        <v>0</v>
      </c>
      <c r="D7" t="n">
        <v>0</v>
      </c>
      <c r="E7">
        <f>C7*inp_elec_rate+D7*inp_gas_rate</f>
        <v/>
      </c>
      <c r="F7">
        <f>IF(E7=0,"",B7/E7)</f>
        <v/>
      </c>
      <c r="G7" t="n">
        <v>-150000</v>
      </c>
      <c r="H7">
        <f>inp_usd_per_ft2*inp_area_ft2*inp_coverage/7</f>
        <v/>
      </c>
    </row>
    <row r="8">
      <c r="A8" t="inlineStr">
        <is>
          <t>ECM-RCX-SETPOINT-REVIEW</t>
        </is>
      </c>
      <c r="B8" s="3" t="n">
        <v>150000</v>
      </c>
      <c r="C8" t="n">
        <v>277595.8</v>
      </c>
      <c r="D8" t="n">
        <v>5845.4</v>
      </c>
      <c r="E8">
        <f>C8*inp_elec_rate+D8*inp_gas_rate</f>
        <v/>
      </c>
      <c r="F8">
        <f>IF(E8=0,"",B8/E8)</f>
        <v/>
      </c>
      <c r="G8" t="n">
        <v>296501.59</v>
      </c>
      <c r="H8">
        <f>inp_usd_per_ft2*inp_area_ft2*inp_coverage/7</f>
        <v/>
      </c>
    </row>
    <row r="9">
      <c r="A9" s="4" t="inlineStr">
        <is>
          <t>TOTAL</t>
        </is>
      </c>
      <c r="B9">
        <f>SUM(B2:B8)</f>
        <v/>
      </c>
      <c r="E9">
        <f>SUM(E2:E8)</f>
        <v/>
      </c>
      <c r="G9">
        <f>SUM(G2:G8)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3" max="3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detail</t>
        </is>
      </c>
    </row>
    <row r="2">
      <c r="A2" t="inlineStr">
        <is>
          <t>overall_verdict</t>
        </is>
      </c>
      <c r="B2" t="inlineStr">
        <is>
          <t>INVESTIGATE</t>
        </is>
      </c>
      <c r="C2" t="inlineStr">
        <is>
          <t>investigate_count=6</t>
        </is>
      </c>
    </row>
    <row r="3">
      <c r="A3" t="inlineStr">
        <is>
          <t>baseline_eui_band</t>
        </is>
      </c>
      <c r="B3" t="inlineStr">
        <is>
          <t>skipped</t>
        </is>
      </c>
      <c r="C3" t="inlineStr">
        <is>
          <t>No site EUI provided (load bills first).</t>
        </is>
      </c>
    </row>
    <row r="4">
      <c r="A4" t="inlineStr">
        <is>
          <t>savings_fraction</t>
        </is>
      </c>
      <c r="B4" t="inlineStr">
        <is>
          <t>skipped</t>
        </is>
      </c>
      <c r="C4" t="inlineStr">
        <is>
          <t>No baseline consumption provided (load bills first).</t>
        </is>
      </c>
    </row>
    <row r="5">
      <c r="A5" t="inlineStr">
        <is>
          <t>measure_cost_band</t>
        </is>
      </c>
      <c r="B5" t="inlineStr">
        <is>
          <t>investigate</t>
        </is>
      </c>
      <c r="C5" t="inlineStr">
        <is>
          <t>ECM-AHU-SCHED-ALIGN: $3.0/building_ft2 is above the 'rcx_tuning' reference band ($0.05-0.5, 2020$, high confidence).</t>
        </is>
      </c>
    </row>
    <row r="6">
      <c r="A6" t="inlineStr">
        <is>
          <t>measure_cost_band</t>
        </is>
      </c>
      <c r="B6" t="inlineStr">
        <is>
          <t>investigate</t>
        </is>
      </c>
      <c r="C6" t="inlineStr">
        <is>
          <t>ECM-RCX-SETPOINT-REVIEW: $3.0/building_ft2 is above the 'rcx_tuning' reference band ($0.05-0.5, 2020$, high confidence).</t>
        </is>
      </c>
    </row>
    <row r="7">
      <c r="A7" t="inlineStr">
        <is>
          <t>measure_cost_band</t>
        </is>
      </c>
      <c r="B7" t="inlineStr">
        <is>
          <t>ok</t>
        </is>
      </c>
      <c r="C7" t="inlineStr">
        <is>
          <t>ECM-OCC-STANDBY-DCV: $3.0/building_ft2 vs 'minor_hvac_controls' band $1.5-3.5 (2017$).</t>
        </is>
      </c>
    </row>
    <row r="8">
      <c r="A8" t="inlineStr">
        <is>
          <t>measure_cost_band</t>
        </is>
      </c>
      <c r="B8" t="inlineStr">
        <is>
          <t>investigate</t>
        </is>
      </c>
      <c r="C8" t="inlineStr">
        <is>
          <t>ECM-CHILLER-LOCKOUT: $3.0/building_ft2 is above the 'rcx_tuning' reference band ($0.05-0.5, 2020$, high confidence).</t>
        </is>
      </c>
    </row>
    <row r="9">
      <c r="A9" t="inlineStr">
        <is>
          <t>measure_cost_band</t>
        </is>
      </c>
      <c r="B9" t="inlineStr">
        <is>
          <t>investigate</t>
        </is>
      </c>
      <c r="C9" t="inlineStr">
        <is>
          <t>ECM-OA-DAMPER-REPAIR: $3.0/building_ft2 is above the 'rcx_tuning' reference band ($0.05-0.5, 2020$, high confidence).</t>
        </is>
      </c>
    </row>
    <row r="10">
      <c r="A10" t="inlineStr">
        <is>
          <t>measure_cost_band</t>
        </is>
      </c>
      <c r="B10" t="inlineStr">
        <is>
          <t>investigate</t>
        </is>
      </c>
      <c r="C10" t="inlineStr">
        <is>
          <t>ECM-SENSOR-CRITICAL-REFRESH: $3.0/building_ft2 is above the 'rcx_tuning' reference band ($0.05-0.5, 2020$, high confidence).</t>
        </is>
      </c>
    </row>
    <row r="11">
      <c r="A11" t="inlineStr">
        <is>
          <t>measure_cost_band</t>
        </is>
      </c>
      <c r="B11" t="inlineStr">
        <is>
          <t>investigate</t>
        </is>
      </c>
      <c r="C11" t="inlineStr">
        <is>
          <t>ECM-SENSOR-CALIBRATION: $3.0/building_ft2 is above the 'rcx_tuning' reference band ($0.05-0.5, 2020$, high confidence).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5" t="inlineStr">
        <is>
          <t>Documentation &amp; calculator map</t>
        </is>
      </c>
    </row>
    <row r="3">
      <c r="A3" t="inlineStr">
        <is>
          <t>ESCO spreadsheet calcs (human map)</t>
        </is>
      </c>
      <c r="B3" t="inlineStr">
        <is>
          <t>https://github.com/bbartling/py-bacnet-stacks-playground/blob/develop/vibe_code_apps_20/docs/ESCO_SPREADSHEET_CALCS.md</t>
        </is>
      </c>
    </row>
    <row r="4">
      <c r="A4" t="inlineStr">
        <is>
          <t>Python bin calculators</t>
        </is>
      </c>
      <c r="B4" t="inlineStr">
        <is>
          <t>wattlab/bench/esco.py · wattlab/studio/proxies.py</t>
        </is>
      </c>
    </row>
    <row r="5">
      <c r="A5" t="inlineStr">
        <is>
          <t>Crosscheck</t>
        </is>
      </c>
      <c r="B5" t="inlineStr">
        <is>
          <t>wattlab/crosscheck.py (~0.5–2× = reasonable)</t>
        </is>
      </c>
    </row>
    <row r="6">
      <c r="A6" t="inlineStr">
        <is>
          <t>Finance / NPV</t>
        </is>
      </c>
      <c r="B6" t="inlineStr">
        <is>
          <t>wattlab/finance.py</t>
        </is>
      </c>
    </row>
    <row r="7">
      <c r="A7" t="inlineStr">
        <is>
          <t>Catalog package</t>
        </is>
      </c>
      <c r="B7" t="inlineStr">
        <is>
          <t>no-capital-rcx</t>
        </is>
      </c>
    </row>
    <row r="8">
      <c r="A8" t="inlineStr">
        <is>
          <t>Measure ids</t>
        </is>
      </c>
      <c r="B8" t="inlineStr">
        <is>
          <t>ECM-AHU-SCHED-ALIGN, ECM-OA-DAMPER-REPAIR, ECM-SENSOR-CRITICAL-REFRESH, ECM-OCC-STANDBY-DCV, ECM-CHILLER-LOCKOUT, ECM-SENSOR-CALIBRATION, ECM-RCX-SETPOINT-REVIEW</t>
        </is>
      </c>
    </row>
    <row r="10">
      <c r="A10" t="inlineStr">
        <is>
          <t>Agent CLI</t>
        </is>
      </c>
      <c r="B10" t="inlineStr">
        <is>
          <t>wattlab notebook build --package controls_first --out reports/notebooks/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WattLab</dc:creator>
  <dc:title xmlns:dc="http://purl.org/dc/elements/1.1/">WattLab notebook · controls_first</dc:title>
  <dcterms:created xmlns:dcterms="http://purl.org/dc/terms/" xmlns:xsi="http://www.w3.org/2001/XMLSchema-instance" xsi:type="dcterms:W3CDTF">2026-07-25T19:56:47Z</dcterms:created>
  <dcterms:modified xmlns:dcterms="http://purl.org/dc/terms/" xmlns:xsi="http://www.w3.org/2001/XMLSchema-instance" xsi:type="dcterms:W3CDTF">2026-07-25T19:56:47Z</dcterms:modified>
</cp:coreProperties>
</file>