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reening_Results" sheetId="2" state="visible" r:id="rId2"/>
    <sheet xmlns:r="http://schemas.openxmlformats.org/officeDocument/2006/relationships" name="Calibrated_Twin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ESCO_Calcs" sheetId="5" state="visible" r:id="rId5"/>
    <sheet xmlns:r="http://schemas.openxmlformats.org/officeDocument/2006/relationships" name="EPlus_Results" sheetId="6" state="visible" r:id="rId6"/>
    <sheet xmlns:r="http://schemas.openxmlformats.org/officeDocument/2006/relationships" name="Compare" sheetId="7" state="visible" r:id="rId7"/>
    <sheet xmlns:r="http://schemas.openxmlformats.org/officeDocument/2006/relationships" name="ROI_Capital" sheetId="8" state="visible" r:id="rId8"/>
    <sheet xmlns:r="http://schemas.openxmlformats.org/officeDocument/2006/relationships" name="Guardrails" sheetId="9" state="visible" r:id="rId9"/>
    <sheet xmlns:r="http://schemas.openxmlformats.org/officeDocument/2006/relationships" name="Docs" sheetId="10" state="visible" r:id="rId10"/>
    <sheet xmlns:r="http://schemas.openxmlformats.org/officeDocument/2006/relationships" name="Charts" sheetId="11" state="visible" r:id="rId11"/>
  </sheets>
  <definedNames>
    <definedName name="inp_area_ft2">'Inputs'!$B$2</definedName>
    <definedName name="inp_cooling_tons">'Inputs'!$B$3</definedName>
    <definedName name="inp_fan_hp">'Inputs'!$B$4</definedName>
    <definedName name="inp_elec_rate">'Inputs'!$B$5</definedName>
    <definedName name="inp_gas_rate">'Inputs'!$B$6</definedName>
    <definedName name="inp_discount">'Inputs'!$B$7</definedName>
    <definedName name="inp_escalation">'Inputs'!$B$8</definedName>
    <definedName name="inp_life_years">'Inputs'!$B$9</definedName>
    <definedName name="inp_usd_per_ft2">'Inputs'!$B$10</definedName>
    <definedName name="inp_coverage">'Inputs'!$B$11</definedName>
    <definedName name="inp_sched_hours_saved">'Inputs'!$B$12</definedName>
    <definedName name="inp_fan_hours">'Inputs'!$B$13</definedName>
    <definedName name="inp_fan_speed">'Inputs'!$B$14</definedName>
    <definedName name="inp_kw_per_ton">'Inputs'!$B$15</definedName>
    <definedName name="inp_lockout_hours">'Inputs'!$B$16</definedName>
    <definedName name="inp_standby_hours">'Inputs'!$B$17</definedName>
    <definedName name="inp_sat_hours">'Inputs'!$B$18</definedName>
    <definedName name="inp_erv_cfm">'Inputs'!$B$19</definedName>
    <definedName name="inp_erv_eff">'Inputs'!$B$20</definedName>
    <definedName name="inp_erv_hours">'Inputs'!$B$21</definedName>
    <definedName name="inp_heating_mmbtu">'Inputs'!$B$22</definedName>
    <definedName name="inp_boiler_eff_base">'Inputs'!$B$23</definedName>
    <definedName name="inp_boiler_eff_prop">'Inputs'!$B$24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</font>
    <font>
      <b val="1"/>
      <sz val="14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Electric savings — ESCO screening (kWh/yr)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'Charts'!$G$5:$G$11</f>
            </numRef>
          </cat>
          <val>
            <numRef>
              <f>'Charts'!$B$5:$B$11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kWh/yr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utility $ saved — screening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'Charts'!$G$5:$G$11</f>
            </numRef>
          </cat>
          <val>
            <numRef>
              <f>'Charts'!$E$5:$E$11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21</row>
      <rowOff>0</rowOff>
    </from>
    <ext cx="72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WattLab Engineering Notebook</t>
        </is>
      </c>
    </row>
    <row r="2">
      <c r="A2" t="inlineStr">
        <is>
          <t>ECM package screening (agent-owned Excel · Studio = mirror)</t>
        </is>
      </c>
    </row>
    <row r="3"/>
    <row r="4">
      <c r="A4" t="inlineStr">
        <is>
          <t>Building</t>
        </is>
      </c>
      <c r="B4" t="inlineStr">
        <is>
          <t>BUILDING</t>
        </is>
      </c>
    </row>
    <row r="5">
      <c r="A5" t="inlineStr">
        <is>
          <t>Package id</t>
        </is>
      </c>
      <c r="B5" t="inlineStr">
        <is>
          <t>controls_first</t>
        </is>
      </c>
    </row>
    <row r="6">
      <c r="A6" t="inlineStr">
        <is>
          <t>Package</t>
        </is>
      </c>
      <c r="B6" t="inlineStr">
        <is>
          <t>Easy RCx — schedules, sensors, standby+DCV, chiller lockout (no major capital)</t>
        </is>
      </c>
    </row>
    <row r="7">
      <c r="A7" t="inlineStr">
        <is>
          <t>Catalog label</t>
        </is>
      </c>
      <c r="B7" t="inlineStr">
        <is>
          <t>1 · Easy controls (minimal modification)</t>
        </is>
      </c>
    </row>
    <row r="8">
      <c r="A8" t="inlineStr">
        <is>
          <t>Honesty</t>
        </is>
      </c>
      <c r="B8" t="inlineStr">
        <is>
          <t>screening — lowest-touch package before G36 airside</t>
        </is>
      </c>
    </row>
    <row r="9">
      <c r="A9" t="inlineStr">
        <is>
          <t>Generated (UTC)</t>
        </is>
      </c>
      <c r="B9" t="inlineStr">
        <is>
          <t>2026-07-27T13:45:09Z</t>
        </is>
      </c>
    </row>
    <row r="10">
      <c r="A10" t="inlineStr">
        <is>
          <t>Catalog package</t>
        </is>
      </c>
      <c r="B10" t="inlineStr">
        <is>
          <t>no-capital-rcx</t>
        </is>
      </c>
    </row>
    <row r="11">
      <c r="A11" t="inlineStr">
        <is>
          <t>n_measures</t>
        </is>
      </c>
      <c r="B11" t="n">
        <v>7</v>
      </c>
    </row>
    <row r="12">
      <c r="A12" t="inlineStr">
        <is>
          <t>Twin run</t>
        </is>
      </c>
      <c r="B12" t="inlineStr">
        <is>
          <t>(none — E+ optional)</t>
        </is>
      </c>
    </row>
    <row r="13">
      <c r="A13" t="inlineStr">
        <is>
          <t>G14 pass</t>
        </is>
      </c>
    </row>
    <row r="14">
      <c r="A14" t="inlineStr">
        <is>
          <t>Model site EUI</t>
        </is>
      </c>
    </row>
    <row r="15">
      <c r="A15" t="inlineStr">
        <is>
          <t>Model kWh/yr</t>
        </is>
      </c>
    </row>
    <row r="16">
      <c r="A16" t="inlineStr">
        <is>
          <t>Model therms/yr</t>
        </is>
      </c>
    </row>
    <row r="17">
      <c r="A17" t="inlineStr">
        <is>
          <t>Peer band</t>
        </is>
      </c>
    </row>
    <row r="18">
      <c r="A18" t="inlineStr">
        <is>
          <t>Peer vs median %</t>
        </is>
      </c>
    </row>
    <row r="19">
      <c r="A19" t="inlineStr">
        <is>
          <t>Screening $/sf</t>
        </is>
      </c>
      <c r="B19" t="inlineStr">
        <is>
          <t>3.0 (controls-first screening band) — screening ≠ bid / ≠ calibrated ROI</t>
        </is>
      </c>
    </row>
    <row r="20">
      <c r="A20" t="inlineStr">
        <is>
          <t>Guardrail verdict</t>
        </is>
      </c>
      <c r="B20" t="inlineStr">
        <is>
          <t>PUBLISH</t>
        </is>
      </c>
    </row>
    <row r="21">
      <c r="A21" t="inlineStr">
        <is>
          <t>ESCO calculators</t>
        </is>
      </c>
      <c r="B21" t="inlineStr">
        <is>
          <t>https://github.com/bbartling/py-bacnet-stacks-playground/blob/develop/vibe_code_apps_20/vibe20_agent_spec/docs/ESCO_CALCULATORS.md</t>
        </is>
      </c>
    </row>
    <row r="22">
      <c r="A22" t="inlineStr">
        <is>
          <t>Retrofit cost / ROI</t>
        </is>
      </c>
      <c r="B22" t="inlineStr">
        <is>
          <t>https://github.com/bbartling/py-bacnet-stacks-playground/blob/develop/vibe_code_apps_20/vibe20_agent_spec/docs/ESCO_RETROFIT_COST_ROI.md</t>
        </is>
      </c>
    </row>
    <row r="23">
      <c r="A23" t="inlineStr">
        <is>
          <t>Spreadsheet map</t>
        </is>
      </c>
      <c r="B23" t="inlineStr">
        <is>
          <t>https://github.com/bbartling/py-bacnet-stacks-playground/blob/develop/vibe_code_apps_20/docs/ESCO_SPREADSHEET_CALCS.md</t>
        </is>
      </c>
    </row>
    <row r="24">
      <c r="A24" t="inlineStr">
        <is>
          <t>Template</t>
        </is>
      </c>
      <c r="B24" t="inlineStr">
        <is>
          <t>loaded ecm_package_v1.xlsx</t>
        </is>
      </c>
    </row>
    <row r="25">
      <c r="A25" t="inlineStr">
        <is>
          <t>Note</t>
        </is>
      </c>
      <c r="B25" t="inlineStr">
        <is>
          <t>Yellow Inputs drive rate-linked Excel formulas (annual $, payback, NPV, cost B=H). Formula-backed ESCO kWh: ECM-AHU-SCHED-ALIGN, ECM-OCC-STANDBY-DCV, ECM-CHILLER-LOCKOUT. Other ESCO rows are Python screening proxies. Screening — not investment-grade. See Docs · ESCO_CALCULATORS · ESCO_RETROFIT_COST_ROI. EPlus_Results empty — measure savings optional; Calibrated_Twin is baseline.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64" customWidth="1" min="10" max="10"/>
  </cols>
  <sheetData>
    <row r="1">
      <c r="A1" s="2" t="inlineStr">
        <is>
          <t>measure_id</t>
        </is>
      </c>
      <c r="B1" s="2" t="inlineStr">
        <is>
          <t>basis</t>
        </is>
      </c>
      <c r="C1" s="2" t="inlineStr">
        <is>
          <t>elec_delta_kwh</t>
        </is>
      </c>
      <c r="D1" s="2" t="inlineStr">
        <is>
          <t>savings_kwh</t>
        </is>
      </c>
      <c r="E1" s="2" t="inlineStr">
        <is>
          <t>savings_therms</t>
        </is>
      </c>
      <c r="F1" s="2" t="inlineStr">
        <is>
          <t>annual_cost_saved_usd</t>
        </is>
      </c>
      <c r="G1" s="2" t="inlineStr">
        <is>
          <t>implementation_cost_usd</t>
        </is>
      </c>
      <c r="H1" s="2" t="inlineStr">
        <is>
          <t>simple_payback_years</t>
        </is>
      </c>
      <c r="I1" s="2" t="inlineStr">
        <is>
          <t>npv_usd</t>
        </is>
      </c>
      <c r="J1" s="2" t="inlineStr">
        <is>
          <t>notes</t>
        </is>
      </c>
    </row>
    <row r="2">
      <c r="A2" t="inlineStr">
        <is>
          <t>ECM-AHU-SCHED-ALIGN</t>
        </is>
      </c>
      <c r="B2" t="inlineStr">
        <is>
          <t>excel_formula</t>
        </is>
      </c>
      <c r="C2" t="n">
        <v>0</v>
      </c>
      <c r="D2" t="n">
        <v>0</v>
      </c>
      <c r="E2" t="n">
        <v>5000</v>
      </c>
      <c r="F2" t="n">
        <v>4000</v>
      </c>
      <c r="G2" t="n">
        <v>7500</v>
      </c>
      <c r="H2" t="n">
        <v>1.88</v>
      </c>
      <c r="I2" t="n">
        <v>39515.24</v>
      </c>
      <c r="J2" t="inlineStr">
        <is>
          <t>Build-time screening numbers for Studio. Live Excel formulas are on ESCO_Calcs / ROI_Capital.</t>
        </is>
      </c>
    </row>
    <row r="3">
      <c r="A3" t="inlineStr">
        <is>
          <t>ECM-OA-DAMPER-REPAIR</t>
        </is>
      </c>
      <c r="B3" t="inlineStr">
        <is>
          <t>python_proxy</t>
        </is>
      </c>
      <c r="C3" t="n">
        <v>0</v>
      </c>
      <c r="D3" t="n">
        <v>0</v>
      </c>
      <c r="E3" t="n">
        <v>0</v>
      </c>
      <c r="F3" t="n">
        <v>0</v>
      </c>
      <c r="G3" t="n">
        <v>13000</v>
      </c>
      <c r="H3" t="inlineStr"/>
      <c r="I3" t="n">
        <v>-13000</v>
      </c>
      <c r="J3" t="inlineStr">
        <is>
          <t>Build-time screening numbers for Studio. Live Excel formulas are on ESCO_Calcs / ROI_Capital.</t>
        </is>
      </c>
    </row>
    <row r="4">
      <c r="A4" t="inlineStr">
        <is>
          <t>ECM-SENSOR-CRITICAL-REFRESH</t>
        </is>
      </c>
      <c r="B4" t="inlineStr">
        <is>
          <t>python_proxy</t>
        </is>
      </c>
      <c r="C4" t="n">
        <v>0</v>
      </c>
      <c r="D4" t="n">
        <v>0</v>
      </c>
      <c r="E4" t="n">
        <v>0</v>
      </c>
      <c r="F4" t="n">
        <v>0</v>
      </c>
      <c r="G4" t="n">
        <v>17500</v>
      </c>
      <c r="H4" t="inlineStr"/>
      <c r="I4" t="n">
        <v>-17500</v>
      </c>
      <c r="J4" t="inlineStr">
        <is>
          <t>Build-time screening numbers for Studio. Live Excel formulas are on ESCO_Calcs / ROI_Capital.</t>
        </is>
      </c>
    </row>
    <row r="5">
      <c r="A5" t="inlineStr">
        <is>
          <t>ECM-OCC-STANDBY-DCV</t>
        </is>
      </c>
      <c r="B5" t="inlineStr">
        <is>
          <t>excel_formula</t>
        </is>
      </c>
      <c r="C5" t="n">
        <v>0</v>
      </c>
      <c r="D5" t="n">
        <v>0</v>
      </c>
      <c r="E5" t="n">
        <v>3000</v>
      </c>
      <c r="F5" t="n">
        <v>2400</v>
      </c>
      <c r="G5" t="n">
        <v>32500</v>
      </c>
      <c r="H5" t="n">
        <v>13.54</v>
      </c>
      <c r="I5" t="n">
        <v>-4290.85</v>
      </c>
      <c r="J5" t="inlineStr">
        <is>
          <t>Build-time screening numbers for Studio. Live Excel formulas are on ESCO_Calcs / ROI_Capital.</t>
        </is>
      </c>
    </row>
    <row r="6">
      <c r="A6" t="inlineStr">
        <is>
          <t>ECM-CHILLER-LOCKOUT</t>
        </is>
      </c>
      <c r="B6" t="inlineStr">
        <is>
          <t>excel_formula</t>
        </is>
      </c>
      <c r="C6" t="n">
        <v>0</v>
      </c>
      <c r="D6" t="n">
        <v>0</v>
      </c>
      <c r="E6" t="n">
        <v>0</v>
      </c>
      <c r="F6" t="n">
        <v>0</v>
      </c>
      <c r="G6" t="n">
        <v>6000</v>
      </c>
      <c r="H6" t="inlineStr"/>
      <c r="I6" t="n">
        <v>-6000</v>
      </c>
      <c r="J6" t="inlineStr">
        <is>
          <t>Build-time screening numbers for Studio. Live Excel formulas are on ESCO_Calcs / ROI_Capital.</t>
        </is>
      </c>
    </row>
    <row r="7">
      <c r="A7" t="inlineStr">
        <is>
          <t>ECM-SENSOR-CALIBRATION</t>
        </is>
      </c>
      <c r="B7" t="inlineStr">
        <is>
          <t>python_proxy</t>
        </is>
      </c>
      <c r="C7" t="n">
        <v>0</v>
      </c>
      <c r="D7" t="n">
        <v>0</v>
      </c>
      <c r="E7" t="n">
        <v>0</v>
      </c>
      <c r="F7" t="n">
        <v>0</v>
      </c>
      <c r="G7" t="n">
        <v>13000</v>
      </c>
      <c r="H7" t="inlineStr"/>
      <c r="I7" t="n">
        <v>-13000</v>
      </c>
      <c r="J7" t="inlineStr">
        <is>
          <t>Build-time screening numbers for Studio. Live Excel formulas are on ESCO_Calcs / ROI_Capital.</t>
        </is>
      </c>
    </row>
    <row r="8">
      <c r="A8" t="inlineStr">
        <is>
          <t>ECM-RCX-SETPOINT-REVIEW</t>
        </is>
      </c>
      <c r="B8" t="inlineStr">
        <is>
          <t>python_proxy</t>
        </is>
      </c>
      <c r="C8" t="n">
        <v>277595.8</v>
      </c>
      <c r="D8" t="n">
        <v>277595.8</v>
      </c>
      <c r="E8" t="n">
        <v>5845.4</v>
      </c>
      <c r="F8" t="n">
        <v>37987.82</v>
      </c>
      <c r="G8" t="n">
        <v>13000</v>
      </c>
      <c r="H8" t="n">
        <v>0.34</v>
      </c>
      <c r="I8" t="n">
        <v>433501.59</v>
      </c>
      <c r="J8" t="inlineStr">
        <is>
          <t>Build-time screening numbers for Studio. Live Excel formulas are on ESCO_Calcs / ROI_Capital.</t>
        </is>
      </c>
    </row>
    <row r="9">
      <c r="A9" s="4" t="inlineStr">
        <is>
          <t>TOTAL</t>
        </is>
      </c>
      <c r="F9">
        <f>SUM(F2:F8)</f>
        <v/>
      </c>
      <c r="G9">
        <f>SUM(G2:G8)</f>
        <v/>
      </c>
      <c r="I9">
        <f>SUM(I2:I8)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0" customWidth="1" min="3" max="3"/>
  </cols>
  <sheetData>
    <row r="1">
      <c r="A1" s="2" t="inlineStr">
        <is>
          <t>parameter</t>
        </is>
      </c>
      <c r="B1" s="2" t="inlineStr">
        <is>
          <t>value</t>
        </is>
      </c>
      <c r="C1" s="2" t="inlineStr">
        <is>
          <t>notes</t>
        </is>
      </c>
    </row>
    <row r="2">
      <c r="A2" t="inlineStr">
        <is>
          <t>twin_run</t>
        </is>
      </c>
      <c r="B2" t="inlineStr">
        <is>
          <t>(none)</t>
        </is>
      </c>
      <c r="C2" t="inlineStr">
        <is>
          <t>Studio / runs/&lt;id&gt;</t>
        </is>
      </c>
    </row>
    <row r="3">
      <c r="A3" t="inlineStr">
        <is>
          <t>g14_pass</t>
        </is>
      </c>
      <c r="C3" t="inlineStr">
        <is>
          <t>ASHRAE 14 monthly utility bills</t>
        </is>
      </c>
    </row>
    <row r="4">
      <c r="A4" t="inlineStr">
        <is>
          <t>model_kwh</t>
        </is>
      </c>
      <c r="C4" t="inlineStr">
        <is>
          <t>E+ annual electricity</t>
        </is>
      </c>
    </row>
    <row r="5">
      <c r="A5" t="inlineStr">
        <is>
          <t>model_therms</t>
        </is>
      </c>
      <c r="C5" t="inlineStr">
        <is>
          <t>E+ annual gas</t>
        </is>
      </c>
    </row>
    <row r="6">
      <c r="A6" t="inlineStr">
        <is>
          <t>model_site_eui</t>
        </is>
      </c>
      <c r="C6" t="inlineStr">
        <is>
          <t>kBtu/ft²-yr</t>
        </is>
      </c>
    </row>
    <row r="7">
      <c r="A7" t="inlineStr">
        <is>
          <t>bill_kwh</t>
        </is>
      </c>
      <c r="C7" t="inlineStr">
        <is>
          <t>Observed bills (if joined)</t>
        </is>
      </c>
    </row>
    <row r="8">
      <c r="A8" t="inlineStr">
        <is>
          <t>bill_therms</t>
        </is>
      </c>
      <c r="C8" t="inlineStr">
        <is>
          <t>Observed bills (if joined)</t>
        </is>
      </c>
    </row>
    <row r="9">
      <c r="A9" t="inlineStr">
        <is>
          <t>nmbe_elec_pct</t>
        </is>
      </c>
      <c r="C9" t="inlineStr">
        <is>
          <t>Electricity NMBE %</t>
        </is>
      </c>
    </row>
    <row r="10">
      <c r="A10" t="inlineStr">
        <is>
          <t>cvrmse_elec_pct</t>
        </is>
      </c>
      <c r="C10" t="inlineStr">
        <is>
          <t>Electricity CV(RMSE) %</t>
        </is>
      </c>
    </row>
    <row r="11">
      <c r="A11" t="inlineStr">
        <is>
          <t>nmbe_gas_pct</t>
        </is>
      </c>
      <c r="C11" t="inlineStr">
        <is>
          <t>Gas NMBE %</t>
        </is>
      </c>
    </row>
    <row r="12">
      <c r="A12" t="inlineStr">
        <is>
          <t>cvrmse_gas_pct</t>
        </is>
      </c>
      <c r="C12" t="inlineStr">
        <is>
          <t>Gas CV(RMSE) %</t>
        </is>
      </c>
    </row>
    <row r="13">
      <c r="A13" t="inlineStr">
        <is>
          <t>peer_band</t>
        </is>
      </c>
      <c r="C13" t="inlineStr">
        <is>
          <t>vs public EUI peers</t>
        </is>
      </c>
    </row>
    <row r="14">
      <c r="A14" t="inlineStr">
        <is>
          <t>peer_vs_median_pct</t>
        </is>
      </c>
      <c r="C14" t="inlineStr">
        <is>
          <t>+ worse than median</t>
        </is>
      </c>
    </row>
    <row r="15">
      <c r="A15" t="inlineStr">
        <is>
          <t>status</t>
        </is>
      </c>
      <c r="B15" t="inlineStr">
        <is>
          <t>scorecard / annual missing — placeholder only; attach --twin-run with calibration_scorecard.json</t>
        </is>
      </c>
      <c r="C15" t="inlineStr"/>
    </row>
    <row r="16">
      <c r="A16" t="inlineStr">
        <is>
          <t>honesty</t>
        </is>
      </c>
      <c r="B16" t="inlineStr">
        <is>
          <t>Baseline calibrated model — not ECM measure savings (see EPlus_Results).</t>
        </is>
      </c>
      <c r="C16" t="inlineStr">
        <is>
          <t>baseline ≠ measure savings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0" customWidth="1" min="4" max="4"/>
  </cols>
  <sheetData>
    <row r="1">
      <c r="A1" s="2" t="inlineStr">
        <is>
          <t>parameter</t>
        </is>
      </c>
      <c r="B1" s="2" t="inlineStr">
        <is>
          <t>value</t>
        </is>
      </c>
      <c r="C1" s="2" t="inlineStr">
        <is>
          <t>unit</t>
        </is>
      </c>
      <c r="D1" s="2" t="inlineStr">
        <is>
          <t>notes</t>
        </is>
      </c>
    </row>
    <row r="2">
      <c r="A2" t="inlineStr">
        <is>
          <t>area_ft2</t>
        </is>
      </c>
      <c r="B2" s="3" t="n">
        <v>50000</v>
      </c>
      <c r="C2" t="inlineStr">
        <is>
          <t>ft²</t>
        </is>
      </c>
      <c r="D2" t="inlineStr">
        <is>
          <t>Conditioned floor area</t>
        </is>
      </c>
    </row>
    <row r="3">
      <c r="A3" t="inlineStr">
        <is>
          <t>cooling_tons</t>
        </is>
      </c>
      <c r="B3" s="3" t="inlineStr"/>
      <c r="C3" t="inlineStr">
        <is>
          <t>tons</t>
        </is>
      </c>
      <c r="D3" t="inlineStr">
        <is>
          <t>Optional nameplate</t>
        </is>
      </c>
    </row>
    <row r="4">
      <c r="A4" t="inlineStr">
        <is>
          <t>fan_hp</t>
        </is>
      </c>
      <c r="B4" s="3" t="inlineStr"/>
      <c r="C4" t="inlineStr">
        <is>
          <t>HP</t>
        </is>
      </c>
      <c r="D4" t="inlineStr">
        <is>
          <t>Optional supply fan</t>
        </is>
      </c>
    </row>
    <row r="5">
      <c r="A5" t="inlineStr">
        <is>
          <t>elec_rate</t>
        </is>
      </c>
      <c r="B5" s="3" t="n">
        <v>0.12</v>
      </c>
      <c r="C5" t="inlineStr">
        <is>
          <t>$/kWh</t>
        </is>
      </c>
      <c r="D5" t="inlineStr">
        <is>
          <t>Blended electric rate</t>
        </is>
      </c>
    </row>
    <row r="6">
      <c r="A6" t="inlineStr">
        <is>
          <t>gas_rate</t>
        </is>
      </c>
      <c r="B6" s="3" t="n">
        <v>0.8</v>
      </c>
      <c r="C6" t="inlineStr">
        <is>
          <t>$/therm</t>
        </is>
      </c>
      <c r="D6" t="inlineStr">
        <is>
          <t>Blended gas rate</t>
        </is>
      </c>
    </row>
    <row r="7">
      <c r="A7" t="inlineStr">
        <is>
          <t>discount</t>
        </is>
      </c>
      <c r="B7" s="3" t="n">
        <v>0.05</v>
      </c>
      <c r="C7" t="inlineStr">
        <is>
          <t>fraction</t>
        </is>
      </c>
      <c r="D7" t="inlineStr">
        <is>
          <t>NPV discount rate</t>
        </is>
      </c>
    </row>
    <row r="8">
      <c r="A8" t="inlineStr">
        <is>
          <t>escalation</t>
        </is>
      </c>
      <c r="B8" s="3" t="n">
        <v>0.02</v>
      </c>
      <c r="C8" t="inlineStr">
        <is>
          <t>fraction</t>
        </is>
      </c>
      <c r="D8" t="inlineStr">
        <is>
          <t>Utility escalation</t>
        </is>
      </c>
    </row>
    <row r="9">
      <c r="A9" t="inlineStr">
        <is>
          <t>life_years</t>
        </is>
      </c>
      <c r="B9" s="3" t="n">
        <v>15</v>
      </c>
      <c r="C9" t="inlineStr">
        <is>
          <t>yr</t>
        </is>
      </c>
      <c r="D9" t="inlineStr">
        <is>
          <t>Measure life</t>
        </is>
      </c>
    </row>
    <row r="10">
      <c r="A10" t="inlineStr">
        <is>
          <t>usd_per_ft2</t>
        </is>
      </c>
      <c r="B10" s="3" t="n">
        <v>3</v>
      </c>
      <c r="C10" t="inlineStr">
        <is>
          <t>$/ft²</t>
        </is>
      </c>
      <c r="D10" t="inlineStr">
        <is>
          <t>Fallback package cost intensity</t>
        </is>
      </c>
    </row>
    <row r="11">
      <c r="A11" t="inlineStr">
        <is>
          <t>coverage</t>
        </is>
      </c>
      <c r="B11" s="3" t="n">
        <v>1</v>
      </c>
      <c r="C11" t="inlineStr">
        <is>
          <t>0–1</t>
        </is>
      </c>
      <c r="D11" t="inlineStr">
        <is>
          <t>Fraction of floor area receiving ECMs</t>
        </is>
      </c>
    </row>
    <row r="12">
      <c r="A12" t="inlineStr">
        <is>
          <t>sched_hours_saved</t>
        </is>
      </c>
      <c r="B12" s="3" t="n">
        <v>2500</v>
      </c>
      <c r="C12" t="inlineStr">
        <is>
          <t>h/yr</t>
        </is>
      </c>
      <c r="D12" t="inlineStr">
        <is>
          <t>Avoided AHU hours (schedule formula)</t>
        </is>
      </c>
    </row>
    <row r="13">
      <c r="A13" t="inlineStr">
        <is>
          <t>fan_hours</t>
        </is>
      </c>
      <c r="B13" s="3" t="n">
        <v>4000</v>
      </c>
      <c r="C13" t="inlineStr">
        <is>
          <t>h/yr</t>
        </is>
      </c>
      <c r="D13" t="inlineStr">
        <is>
          <t>Fan annual hours (VFD affinity)</t>
        </is>
      </c>
    </row>
    <row r="14">
      <c r="A14" t="inlineStr">
        <is>
          <t>fan_speed</t>
        </is>
      </c>
      <c r="B14" s="3" t="n">
        <v>0.7</v>
      </c>
      <c r="C14" t="inlineStr">
        <is>
          <t>0–1</t>
        </is>
      </c>
      <c r="D14" t="inlineStr">
        <is>
          <t>Proposed VFD speed fraction</t>
        </is>
      </c>
    </row>
    <row r="15">
      <c r="A15" t="inlineStr">
        <is>
          <t>kw_per_ton</t>
        </is>
      </c>
      <c r="B15" s="3" t="n">
        <v>0.65</v>
      </c>
      <c r="C15" t="inlineStr">
        <is>
          <t>kW/ton</t>
        </is>
      </c>
      <c r="D15" t="inlineStr">
        <is>
          <t>Cooling plant intensity</t>
        </is>
      </c>
    </row>
    <row r="16">
      <c r="A16" t="inlineStr">
        <is>
          <t>lockout_hours</t>
        </is>
      </c>
      <c r="B16" s="3" t="n">
        <v>800</v>
      </c>
      <c r="C16" t="inlineStr">
        <is>
          <t>h/yr</t>
        </is>
      </c>
      <c r="D16" t="inlineStr">
        <is>
          <t>Chiller lockout / econ hours</t>
        </is>
      </c>
    </row>
    <row r="17">
      <c r="A17" t="inlineStr">
        <is>
          <t>standby_hours</t>
        </is>
      </c>
      <c r="B17" s="3" t="n">
        <v>2000</v>
      </c>
      <c r="C17" t="inlineStr">
        <is>
          <t>h/yr</t>
        </is>
      </c>
      <c r="D17" t="inlineStr">
        <is>
          <t>Occupied-standby / DCV hours</t>
        </is>
      </c>
    </row>
    <row r="18">
      <c r="A18" t="inlineStr">
        <is>
          <t>sat_hours</t>
        </is>
      </c>
      <c r="B18" s="3" t="n">
        <v>3500</v>
      </c>
      <c r="C18" t="inlineStr">
        <is>
          <t>h/yr</t>
        </is>
      </c>
      <c r="D18" t="inlineStr">
        <is>
          <t>SAT reset eligible hours</t>
        </is>
      </c>
    </row>
    <row r="19">
      <c r="A19" t="inlineStr">
        <is>
          <t>erv_cfm</t>
        </is>
      </c>
      <c r="B19" s="3" t="n">
        <v>8000</v>
      </c>
      <c r="C19" t="inlineStr">
        <is>
          <t>cfm</t>
        </is>
      </c>
      <c r="D19" t="inlineStr">
        <is>
          <t>ERV outdoor / exhaust CFM</t>
        </is>
      </c>
    </row>
    <row r="20">
      <c r="A20" t="inlineStr">
        <is>
          <t>erv_eff</t>
        </is>
      </c>
      <c r="B20" s="3" t="n">
        <v>0.65</v>
      </c>
      <c r="C20" t="inlineStr">
        <is>
          <t>0–1</t>
        </is>
      </c>
      <c r="D20" t="inlineStr">
        <is>
          <t>ERV sensible effectiveness</t>
        </is>
      </c>
    </row>
    <row r="21">
      <c r="A21" t="inlineStr">
        <is>
          <t>erv_hours</t>
        </is>
      </c>
      <c r="B21" s="3" t="n">
        <v>4000</v>
      </c>
      <c r="C21" t="inlineStr">
        <is>
          <t>h/yr</t>
        </is>
      </c>
      <c r="D21" t="inlineStr">
        <is>
          <t>ERV operating hours</t>
        </is>
      </c>
    </row>
    <row r="22">
      <c r="A22" t="inlineStr">
        <is>
          <t>heating_mmbtu</t>
        </is>
      </c>
      <c r="B22" s="3" t="n">
        <v>4000</v>
      </c>
      <c r="C22" t="inlineStr">
        <is>
          <t>MMBtu/yr</t>
        </is>
      </c>
      <c r="D22" t="inlineStr">
        <is>
          <t>Annual heating load</t>
        </is>
      </c>
    </row>
    <row r="23">
      <c r="A23" t="inlineStr">
        <is>
          <t>boiler_eff_base</t>
        </is>
      </c>
      <c r="B23" s="3" t="n">
        <v>0.8</v>
      </c>
      <c r="C23" t="inlineStr">
        <is>
          <t>fraction</t>
        </is>
      </c>
      <c r="D23" t="inlineStr">
        <is>
          <t>Baseline boiler η</t>
        </is>
      </c>
    </row>
    <row r="24">
      <c r="A24" t="inlineStr">
        <is>
          <t>boiler_eff_prop</t>
        </is>
      </c>
      <c r="B24" s="3" t="n">
        <v>0.84</v>
      </c>
      <c r="C24" t="inlineStr">
        <is>
          <t>fraction</t>
        </is>
      </c>
      <c r="D24" t="inlineStr">
        <is>
          <t>Proposed boiler η (reset/tune)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4" max="4"/>
    <col width="28" customWidth="1" min="5" max="5"/>
    <col width="48" customWidth="1" min="6" max="6"/>
  </cols>
  <sheetData>
    <row r="1">
      <c r="A1" s="2" t="inlineStr">
        <is>
          <t>measure_id</t>
        </is>
      </c>
      <c r="B1" s="2" t="inlineStr">
        <is>
          <t>savings_kwh</t>
        </is>
      </c>
      <c r="C1" s="2" t="inlineStr">
        <is>
          <t>savings_therms</t>
        </is>
      </c>
      <c r="D1" s="2" t="inlineStr">
        <is>
          <t>calculators</t>
        </is>
      </c>
      <c r="E1" s="2" t="inlineStr">
        <is>
          <t>annual_cost_saved_formula</t>
        </is>
      </c>
      <c r="F1" s="2" t="inlineStr">
        <is>
          <t>notes</t>
        </is>
      </c>
    </row>
    <row r="2">
      <c r="A2" t="inlineStr">
        <is>
          <t>ECM-AHU-SCHED-ALIGN</t>
        </is>
      </c>
      <c r="B2">
        <f>IF(OR(inp_fan_hp="",inp_fan_hp=0),0,inp_fan_hp*0.746*inp_sched_hours_saved)+IF(OR(inp_cooling_tons="",inp_cooling_tons=0),0,inp_cooling_tons*inp_kw_per_ton*inp_sched_hours_saved*0.15)</f>
        <v/>
      </c>
      <c r="C2">
        <f>IF(OR(inp_area_ft2="",inp_area_ft2=0),0,inp_area_ft2*0.0004*inp_sched_hours_saved/10)</f>
        <v/>
      </c>
      <c r="D2" t="inlineStr">
        <is>
          <t>excel_formula</t>
        </is>
      </c>
      <c r="E2">
        <f>B2*inp_elec_rate+C2*inp_gas_rate</f>
        <v/>
      </c>
      <c r="F2" t="inlineStr">
        <is>
          <t>Excel formula referencing Inputs named ranges (ESCO_CALCULATORS.md / wattlab-esco-bins). Not a silent Python bake.</t>
        </is>
      </c>
    </row>
    <row r="3">
      <c r="A3" t="inlineStr">
        <is>
          <t>ECM-OA-DAMPER-REPAIR</t>
        </is>
      </c>
      <c r="B3" t="n">
        <v>0</v>
      </c>
      <c r="C3" t="n">
        <v>0</v>
      </c>
      <c r="D3" t="inlineStr"/>
      <c r="E3">
        <f>B3*inp_elec_rate+C3*inp_gas_rate</f>
        <v/>
      </c>
      <c r="F3" t="inlineStr">
        <is>
          <t>proxy (not Excel yet) — Python screening at build</t>
        </is>
      </c>
    </row>
    <row r="4">
      <c r="A4" t="inlineStr">
        <is>
          <t>ECM-SENSOR-CRITICAL-REFRESH</t>
        </is>
      </c>
      <c r="B4" t="n">
        <v>0</v>
      </c>
      <c r="C4" t="n">
        <v>0</v>
      </c>
      <c r="D4" t="inlineStr"/>
      <c r="E4">
        <f>B4*inp_elec_rate+C4*inp_gas_rate</f>
        <v/>
      </c>
      <c r="F4" t="inlineStr">
        <is>
          <t>proxy (not Excel yet) — Python screening at build</t>
        </is>
      </c>
    </row>
    <row r="5">
      <c r="A5" t="inlineStr">
        <is>
          <t>ECM-OCC-STANDBY-DCV</t>
        </is>
      </c>
      <c r="B5">
        <f>IF(OR(inp_fan_hp="",inp_fan_hp=0),0,inp_fan_hp*0.746*inp_standby_hours*0.45)+IF(OR(inp_cooling_tons="",inp_cooling_tons=0),0,inp_cooling_tons*inp_kw_per_ton*inp_standby_hours*0.12)</f>
        <v/>
      </c>
      <c r="C5">
        <f>IF(OR(inp_area_ft2="",inp_area_ft2=0),0,inp_area_ft2*0.0003*inp_standby_hours/10)</f>
        <v/>
      </c>
      <c r="D5" t="inlineStr">
        <is>
          <t>excel_formula</t>
        </is>
      </c>
      <c r="E5">
        <f>B5*inp_elec_rate+C5*inp_gas_rate</f>
        <v/>
      </c>
      <c r="F5" t="inlineStr">
        <is>
          <t>Excel formula referencing Inputs named ranges (ESCO_CALCULATORS.md / wattlab-esco-bins). Not a silent Python bake.</t>
        </is>
      </c>
    </row>
    <row r="6">
      <c r="A6" t="inlineStr">
        <is>
          <t>ECM-CHILLER-LOCKOUT</t>
        </is>
      </c>
      <c r="B6">
        <f>IF(OR(inp_cooling_tons="",inp_cooling_tons=0),0,inp_cooling_tons*inp_kw_per_ton*inp_lockout_hours)</f>
        <v/>
      </c>
      <c r="C6" t="n">
        <v>0</v>
      </c>
      <c r="D6" t="inlineStr">
        <is>
          <t>excel_formula</t>
        </is>
      </c>
      <c r="E6">
        <f>B6*inp_elec_rate+C6*inp_gas_rate</f>
        <v/>
      </c>
      <c r="F6" t="inlineStr">
        <is>
          <t>Excel formula referencing Inputs named ranges (ESCO_CALCULATORS.md / wattlab-esco-bins). Not a silent Python bake.</t>
        </is>
      </c>
    </row>
    <row r="7">
      <c r="A7" t="inlineStr">
        <is>
          <t>ECM-SENSOR-CALIBRATION</t>
        </is>
      </c>
      <c r="B7" t="n">
        <v>0</v>
      </c>
      <c r="C7" t="n">
        <v>0</v>
      </c>
      <c r="D7" t="inlineStr"/>
      <c r="E7">
        <f>B7*inp_elec_rate+C7*inp_gas_rate</f>
        <v/>
      </c>
      <c r="F7" t="inlineStr">
        <is>
          <t>proxy (not Excel yet) — Python screening at build</t>
        </is>
      </c>
    </row>
    <row r="8">
      <c r="A8" t="inlineStr">
        <is>
          <t>ECM-RCX-SETPOINT-REVIEW</t>
        </is>
      </c>
      <c r="B8" t="n">
        <v>277595.8</v>
      </c>
      <c r="C8" t="n">
        <v>5845.4</v>
      </c>
      <c r="D8" t="inlineStr"/>
      <c r="E8">
        <f>B8*inp_elec_rate+C8*inp_gas_rate</f>
        <v/>
      </c>
      <c r="F8" t="inlineStr">
        <is>
          <t>proxy (not Excel yet) — Python screening at build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5" max="5"/>
  </cols>
  <sheetData>
    <row r="1">
      <c r="A1" s="2" t="inlineStr">
        <is>
          <t>measure_id</t>
        </is>
      </c>
      <c r="B1" s="2" t="inlineStr">
        <is>
          <t>kwh_saved</t>
        </is>
      </c>
      <c r="C1" s="2" t="inlineStr">
        <is>
          <t>therms_saved</t>
        </is>
      </c>
      <c r="D1" s="2" t="inlineStr">
        <is>
          <t>peak_kw_delta</t>
        </is>
      </c>
      <c r="E1" s="2" t="inlineStr">
        <is>
          <t>source</t>
        </is>
      </c>
    </row>
    <row r="2">
      <c r="A2" t="inlineStr">
        <is>
          <t>note</t>
        </is>
      </c>
      <c r="B2" t="inlineStr">
        <is>
          <t>No measure-level EnergyPlus savings attached — see Calibrated_Twin for G14 baseline. Blank ≠ zero. Screening numbers are on Screening_Results (ESCO proxies).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" t="inlineStr">
        <is>
          <t>measure_id</t>
        </is>
      </c>
      <c r="B1" s="2" t="inlineStr">
        <is>
          <t>esco_kwh</t>
        </is>
      </c>
      <c r="C1" s="2" t="inlineStr">
        <is>
          <t>ep_kwh</t>
        </is>
      </c>
      <c r="D1" s="2" t="inlineStr">
        <is>
          <t>delta_kwh</t>
        </is>
      </c>
      <c r="E1" s="2" t="inlineStr">
        <is>
          <t>ratio_ep_esco</t>
        </is>
      </c>
      <c r="F1" s="2" t="inlineStr">
        <is>
          <t>esco_therms</t>
        </is>
      </c>
      <c r="G1" s="2" t="inlineStr">
        <is>
          <t>ep_therms</t>
        </is>
      </c>
      <c r="H1" s="2" t="inlineStr">
        <is>
          <t>verdict</t>
        </is>
      </c>
      <c r="I1" s="2" t="inlineStr">
        <is>
          <t>light</t>
        </is>
      </c>
    </row>
    <row r="2">
      <c r="A2" t="inlineStr">
        <is>
          <t>(package)</t>
        </is>
      </c>
      <c r="H2" t="inlineStr">
        <is>
          <t>ESCO_ONLY_NO_EP</t>
        </is>
      </c>
      <c r="I2" t="inlineStr">
        <is>
          <t>N/A</t>
        </is>
      </c>
    </row>
    <row r="3">
      <c r="A3" t="inlineStr">
        <is>
          <t>note</t>
        </is>
      </c>
      <c r="B3" t="inlineStr">
        <is>
          <t>No measure-level EnergyPlus cascade — Calibrated_Twin is G14 baseline only. Use Screening_Results for ESCO / proxy numbers (not Compare traffic lights).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8" max="8"/>
    <col width="18" customWidth="1" min="9" max="9"/>
  </cols>
  <sheetData>
    <row r="1">
      <c r="A1" s="2" t="inlineStr">
        <is>
          <t>measure_id</t>
        </is>
      </c>
      <c r="B1" s="2" t="inlineStr">
        <is>
          <t>implementation_cost_usd</t>
        </is>
      </c>
      <c r="C1" s="2" t="inlineStr">
        <is>
          <t>kwh_saved</t>
        </is>
      </c>
      <c r="D1" s="2" t="inlineStr">
        <is>
          <t>therms_saved</t>
        </is>
      </c>
      <c r="E1" s="2" t="inlineStr">
        <is>
          <t>annual_cost_saved_usd</t>
        </is>
      </c>
      <c r="F1" s="2" t="inlineStr">
        <is>
          <t>simple_payback_years</t>
        </is>
      </c>
      <c r="G1" s="2" t="inlineStr">
        <is>
          <t>npv_usd</t>
        </is>
      </c>
      <c r="H1" s="2" t="inlineStr">
        <is>
          <t>cost_formula</t>
        </is>
      </c>
      <c r="I1" s="2" t="inlineStr">
        <is>
          <t>npv_usd_at_build</t>
        </is>
      </c>
    </row>
    <row r="2">
      <c r="A2" t="inlineStr">
        <is>
          <t>ECM-AHU-SCHED-ALIGN</t>
        </is>
      </c>
      <c r="B2" s="3">
        <f>H2</f>
        <v/>
      </c>
      <c r="C2">
        <f>ESCO_Calcs!B2</f>
        <v/>
      </c>
      <c r="D2">
        <f>ESCO_Calcs!C2</f>
        <v/>
      </c>
      <c r="E2">
        <f>C2*inp_elec_rate+D2*inp_gas_rate</f>
        <v/>
      </c>
      <c r="F2">
        <f>IF(E2=0,"",B2/E2)</f>
        <v/>
      </c>
      <c r="G2">
        <f>IF(ABS(inp_discount-inp_escalation)&lt;1E-9,-B2+E2*inp_life_years/(1+inp_discount),-B2+E2*(1-((1+inp_escalation)/(1+inp_discount))^inp_life_years)/(inp_discount-inp_escalation))</f>
        <v/>
      </c>
      <c r="H2" t="n">
        <v>7500</v>
      </c>
      <c r="I2" t="n">
        <v>39515.24</v>
      </c>
    </row>
    <row r="3">
      <c r="A3" t="inlineStr">
        <is>
          <t>ECM-OA-DAMPER-REPAIR</t>
        </is>
      </c>
      <c r="B3" s="3">
        <f>H3</f>
        <v/>
      </c>
      <c r="C3" t="n">
        <v>0</v>
      </c>
      <c r="D3" t="n">
        <v>0</v>
      </c>
      <c r="E3">
        <f>C3*inp_elec_rate+D3*inp_gas_rate</f>
        <v/>
      </c>
      <c r="F3">
        <f>IF(E3=0,"",B3/E3)</f>
        <v/>
      </c>
      <c r="G3">
        <f>IF(ABS(inp_discount-inp_escalation)&lt;1E-9,-B3+E3*inp_life_years/(1+inp_discount),-B3+E3*(1-((1+inp_escalation)/(1+inp_discount))^inp_life_years)/(inp_discount-inp_escalation))</f>
        <v/>
      </c>
      <c r="H3" t="n">
        <v>13000</v>
      </c>
      <c r="I3" t="n">
        <v>-13000</v>
      </c>
    </row>
    <row r="4">
      <c r="A4" t="inlineStr">
        <is>
          <t>ECM-SENSOR-CRITICAL-REFRESH</t>
        </is>
      </c>
      <c r="B4" s="3">
        <f>H4</f>
        <v/>
      </c>
      <c r="C4" t="n">
        <v>0</v>
      </c>
      <c r="D4" t="n">
        <v>0</v>
      </c>
      <c r="E4">
        <f>C4*inp_elec_rate+D4*inp_gas_rate</f>
        <v/>
      </c>
      <c r="F4">
        <f>IF(E4=0,"",B4/E4)</f>
        <v/>
      </c>
      <c r="G4">
        <f>IF(ABS(inp_discount-inp_escalation)&lt;1E-9,-B4+E4*inp_life_years/(1+inp_discount),-B4+E4*(1-((1+inp_escalation)/(1+inp_discount))^inp_life_years)/(inp_discount-inp_escalation))</f>
        <v/>
      </c>
      <c r="H4" t="n">
        <v>17500</v>
      </c>
      <c r="I4" t="n">
        <v>-17500</v>
      </c>
    </row>
    <row r="5">
      <c r="A5" t="inlineStr">
        <is>
          <t>ECM-OCC-STANDBY-DCV</t>
        </is>
      </c>
      <c r="B5" s="3">
        <f>H5</f>
        <v/>
      </c>
      <c r="C5">
        <f>ESCO_Calcs!B5</f>
        <v/>
      </c>
      <c r="D5">
        <f>ESCO_Calcs!C5</f>
        <v/>
      </c>
      <c r="E5">
        <f>C5*inp_elec_rate+D5*inp_gas_rate</f>
        <v/>
      </c>
      <c r="F5">
        <f>IF(E5=0,"",B5/E5)</f>
        <v/>
      </c>
      <c r="G5">
        <f>IF(ABS(inp_discount-inp_escalation)&lt;1E-9,-B5+E5*inp_life_years/(1+inp_discount),-B5+E5*(1-((1+inp_escalation)/(1+inp_discount))^inp_life_years)/(inp_discount-inp_escalation))</f>
        <v/>
      </c>
      <c r="H5" t="n">
        <v>32500</v>
      </c>
      <c r="I5" t="n">
        <v>-4290.85</v>
      </c>
    </row>
    <row r="6">
      <c r="A6" t="inlineStr">
        <is>
          <t>ECM-CHILLER-LOCKOUT</t>
        </is>
      </c>
      <c r="B6" s="3">
        <f>H6</f>
        <v/>
      </c>
      <c r="C6">
        <f>ESCO_Calcs!B6</f>
        <v/>
      </c>
      <c r="D6">
        <f>ESCO_Calcs!C6</f>
        <v/>
      </c>
      <c r="E6">
        <f>C6*inp_elec_rate+D6*inp_gas_rate</f>
        <v/>
      </c>
      <c r="F6">
        <f>IF(E6=0,"",B6/E6)</f>
        <v/>
      </c>
      <c r="G6">
        <f>IF(ABS(inp_discount-inp_escalation)&lt;1E-9,-B6+E6*inp_life_years/(1+inp_discount),-B6+E6*(1-((1+inp_escalation)/(1+inp_discount))^inp_life_years)/(inp_discount-inp_escalation))</f>
        <v/>
      </c>
      <c r="H6" t="n">
        <v>6000</v>
      </c>
      <c r="I6" t="n">
        <v>-6000</v>
      </c>
    </row>
    <row r="7">
      <c r="A7" t="inlineStr">
        <is>
          <t>ECM-SENSOR-CALIBRATION</t>
        </is>
      </c>
      <c r="B7" s="3">
        <f>H7</f>
        <v/>
      </c>
      <c r="C7" t="n">
        <v>0</v>
      </c>
      <c r="D7" t="n">
        <v>0</v>
      </c>
      <c r="E7">
        <f>C7*inp_elec_rate+D7*inp_gas_rate</f>
        <v/>
      </c>
      <c r="F7">
        <f>IF(E7=0,"",B7/E7)</f>
        <v/>
      </c>
      <c r="G7">
        <f>IF(ABS(inp_discount-inp_escalation)&lt;1E-9,-B7+E7*inp_life_years/(1+inp_discount),-B7+E7*(1-((1+inp_escalation)/(1+inp_discount))^inp_life_years)/(inp_discount-inp_escalation))</f>
        <v/>
      </c>
      <c r="H7" t="n">
        <v>13000</v>
      </c>
      <c r="I7" t="n">
        <v>-13000</v>
      </c>
    </row>
    <row r="8">
      <c r="A8" t="inlineStr">
        <is>
          <t>ECM-RCX-SETPOINT-REVIEW</t>
        </is>
      </c>
      <c r="B8" s="3">
        <f>H8</f>
        <v/>
      </c>
      <c r="C8" t="n">
        <v>277595.8</v>
      </c>
      <c r="D8" t="n">
        <v>5845.4</v>
      </c>
      <c r="E8">
        <f>C8*inp_elec_rate+D8*inp_gas_rate</f>
        <v/>
      </c>
      <c r="F8">
        <f>IF(E8=0,"",B8/E8)</f>
        <v/>
      </c>
      <c r="G8">
        <f>IF(ABS(inp_discount-inp_escalation)&lt;1E-9,-B8+E8*inp_life_years/(1+inp_discount),-B8+E8*(1-((1+inp_escalation)/(1+inp_discount))^inp_life_years)/(inp_discount-inp_escalation))</f>
        <v/>
      </c>
      <c r="H8" t="n">
        <v>13000</v>
      </c>
      <c r="I8" t="n">
        <v>433501.59</v>
      </c>
    </row>
    <row r="9">
      <c r="A9" s="4" t="inlineStr">
        <is>
          <t>TOTAL</t>
        </is>
      </c>
      <c r="B9">
        <f>SUM(B2:B8)</f>
        <v/>
      </c>
      <c r="E9">
        <f>SUM(E2:E8)</f>
        <v/>
      </c>
      <c r="G9">
        <f>SUM(G2:G8)</f>
        <v/>
      </c>
      <c r="I9">
        <f>SUM(I2:I8)</f>
        <v/>
      </c>
    </row>
    <row r="11">
      <c r="A11" t="inlineStr">
        <is>
          <t>Honesty</t>
        </is>
      </c>
      <c r="B11" t="inlineStr">
        <is>
          <t>Package screening ≈ $3.0/sf (controls-first screening band). Controls-first / major / deep bands are screening ≠ bid ≠ calibrated G14 ROI (see ESCO_RETROFIT_COST_ROI.md · gate_capital_plan).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8" customWidth="1" min="1" max="1"/>
    <col width="60" customWidth="1" min="3" max="3"/>
  </cols>
  <sheetData>
    <row r="1">
      <c r="A1" s="2" t="inlineStr">
        <is>
          <t>check</t>
        </is>
      </c>
      <c r="B1" s="2" t="inlineStr">
        <is>
          <t>status</t>
        </is>
      </c>
      <c r="C1" s="2" t="inlineStr">
        <is>
          <t>detail</t>
        </is>
      </c>
    </row>
    <row r="2">
      <c r="A2" t="inlineStr">
        <is>
          <t>overall_verdict</t>
        </is>
      </c>
      <c r="B2" t="inlineStr">
        <is>
          <t>PUBLISH</t>
        </is>
      </c>
      <c r="C2" t="inlineStr">
        <is>
          <t>investigate_count=0</t>
        </is>
      </c>
    </row>
    <row r="3">
      <c r="A3" t="inlineStr">
        <is>
          <t>baseline_eui_band</t>
        </is>
      </c>
      <c r="B3" t="inlineStr">
        <is>
          <t>skipped</t>
        </is>
      </c>
      <c r="C3" t="inlineStr">
        <is>
          <t>No site EUI provided (load bills first).</t>
        </is>
      </c>
    </row>
    <row r="4">
      <c r="A4" t="inlineStr">
        <is>
          <t>savings_fraction</t>
        </is>
      </c>
      <c r="B4" t="inlineStr">
        <is>
          <t>skipped</t>
        </is>
      </c>
      <c r="C4" t="inlineStr">
        <is>
          <t>No baseline consumption provided (load bills first).</t>
        </is>
      </c>
    </row>
    <row r="5">
      <c r="A5" t="inlineStr">
        <is>
          <t>measure_cost_band</t>
        </is>
      </c>
      <c r="B5" t="inlineStr">
        <is>
          <t>ok</t>
        </is>
      </c>
      <c r="C5" t="inlineStr">
        <is>
          <t>ECM-RCX-SETPOINT-REVIEW: $0.26/building_ft2 vs 'rcx_tuning' band $0.05-0.5 (2020$).</t>
        </is>
      </c>
    </row>
    <row r="6">
      <c r="A6" t="inlineStr">
        <is>
          <t>measure_cost_band</t>
        </is>
      </c>
      <c r="B6" t="inlineStr">
        <is>
          <t>ok</t>
        </is>
      </c>
      <c r="C6" t="inlineStr">
        <is>
          <t>ECM-AHU-SCHED-ALIGN: $0.15/building_ft2 vs 'rcx_tuning' band $0.05-0.5 (2020$).</t>
        </is>
      </c>
    </row>
    <row r="7">
      <c r="A7" t="inlineStr">
        <is>
          <t>measure_cost_band</t>
        </is>
      </c>
      <c r="B7" t="inlineStr">
        <is>
          <t>ok</t>
        </is>
      </c>
      <c r="C7" t="inlineStr">
        <is>
          <t>ECM-OCC-STANDBY-DCV: $0.65/building_ft2 vs 'minor_hvac_controls' band $1.5-3.5 (2017$).</t>
        </is>
      </c>
    </row>
    <row r="8">
      <c r="A8" t="inlineStr">
        <is>
          <t>measure_cost_band</t>
        </is>
      </c>
      <c r="B8" t="inlineStr">
        <is>
          <t>ok</t>
        </is>
      </c>
      <c r="C8" t="inlineStr">
        <is>
          <t>ECM-OA-DAMPER-REPAIR: $0.26/building_ft2 vs 'rcx_tuning' band $0.05-0.5 (2020$).</t>
        </is>
      </c>
    </row>
    <row r="9">
      <c r="A9" t="inlineStr">
        <is>
          <t>measure_cost_band</t>
        </is>
      </c>
      <c r="B9" t="inlineStr">
        <is>
          <t>ok</t>
        </is>
      </c>
      <c r="C9" t="inlineStr">
        <is>
          <t>ECM-SENSOR-CRITICAL-REFRESH: $0.35/building_ft2 vs 'rcx_tuning' band $0.05-0.5 (2020$).</t>
        </is>
      </c>
    </row>
    <row r="10">
      <c r="A10" t="inlineStr">
        <is>
          <t>measure_cost_band</t>
        </is>
      </c>
      <c r="B10" t="inlineStr">
        <is>
          <t>ok</t>
        </is>
      </c>
      <c r="C10" t="inlineStr">
        <is>
          <t>ECM-CHILLER-LOCKOUT: $0.12/building_ft2 vs 'rcx_tuning' band $0.05-0.5 (2020$).</t>
        </is>
      </c>
    </row>
    <row r="11">
      <c r="A11" t="inlineStr">
        <is>
          <t>measure_cost_band</t>
        </is>
      </c>
      <c r="B11" t="inlineStr">
        <is>
          <t>ok</t>
        </is>
      </c>
      <c r="C11" t="inlineStr">
        <is>
          <t>ECM-SENSOR-CALIBRATION: $0.26/building_ft2 vs 'rcx_tuning' band $0.05-0.5 (2020$).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5" t="inlineStr">
        <is>
          <t>Documentation &amp; calculator map</t>
        </is>
      </c>
    </row>
    <row r="3">
      <c r="A3" t="inlineStr">
        <is>
          <t>ESCO calculators (agent-spec)</t>
        </is>
      </c>
      <c r="B3" t="inlineStr">
        <is>
          <t>https://github.com/bbartling/py-bacnet-stacks-playground/blob/develop/vibe_code_apps_20/vibe20_agent_spec/docs/ESCO_CALCULATORS.md</t>
        </is>
      </c>
    </row>
    <row r="4">
      <c r="A4" t="inlineStr">
        <is>
          <t>Retrofit cost / ROI screening</t>
        </is>
      </c>
      <c r="B4" t="inlineStr">
        <is>
          <t>https://github.com/bbartling/py-bacnet-stacks-playground/blob/develop/vibe_code_apps_20/vibe20_agent_spec/docs/ESCO_RETROFIT_COST_ROI.md</t>
        </is>
      </c>
    </row>
    <row r="5">
      <c r="A5" t="inlineStr">
        <is>
          <t>Spreadsheet formula map</t>
        </is>
      </c>
      <c r="B5" t="inlineStr">
        <is>
          <t>https://github.com/bbartling/py-bacnet-stacks-playground/blob/develop/vibe_code_apps_20/docs/ESCO_SPREADSHEET_CALCS.md</t>
        </is>
      </c>
    </row>
    <row r="6">
      <c r="A6" t="inlineStr">
        <is>
          <t>Python bin calculators</t>
        </is>
      </c>
      <c r="B6" t="inlineStr">
        <is>
          <t>wattlab/bench/esco.py · skill wattlab-esco-bins</t>
        </is>
      </c>
    </row>
    <row r="7">
      <c r="A7" t="inlineStr">
        <is>
          <t>Crosscheck / finance</t>
        </is>
      </c>
      <c r="B7" t="inlineStr">
        <is>
          <t>crosscheck.py · ROI G=Excel NPV; I=Python cache; screening $/sf ≈ 3.0 (controls-first screening band) — not calibrated ROI</t>
        </is>
      </c>
    </row>
    <row r="8">
      <c r="A8" t="inlineStr">
        <is>
          <t>Catalog package</t>
        </is>
      </c>
      <c r="B8" t="inlineStr">
        <is>
          <t>no-capital-rcx</t>
        </is>
      </c>
    </row>
    <row r="9">
      <c r="A9" t="inlineStr">
        <is>
          <t>Measure ids</t>
        </is>
      </c>
      <c r="B9" t="inlineStr">
        <is>
          <t>ECM-AHU-SCHED-ALIGN, ECM-OA-DAMPER-REPAIR, ECM-SENSOR-CRITICAL-REFRESH, ECM-OCC-STANDBY-DCV, ECM-CHILLER-LOCKOUT, ECM-SENSOR-CALIBRATION, ECM-RCX-SETPOINT-REVIEW</t>
        </is>
      </c>
    </row>
    <row r="10">
      <c r="A10" t="inlineStr">
        <is>
          <t>Calibrated Twin</t>
        </is>
      </c>
      <c r="B10" t="inlineStr">
        <is>
          <t>Sheet Calibrated_Twin = G14 baseline (not measure savings)</t>
        </is>
      </c>
    </row>
    <row r="11">
      <c r="A11" t="inlineStr">
        <is>
          <t>Template file</t>
        </is>
      </c>
      <c r="B11" t="inlineStr">
        <is>
          <t>templates/ecm_package_v1.xlsx LOADED then rebuilt (agent-owned Excel; Studio mirrors disk)</t>
        </is>
      </c>
    </row>
    <row r="12">
      <c r="A12" t="inlineStr">
        <is>
          <t>Agent CLI</t>
        </is>
      </c>
      <c r="B12" t="inlineStr">
        <is>
          <t>wattlab notebook agent-build --package controls_first --twin-run … --out reports/notebooks/ | prefill | refresh-caches | sync-from-twin</t>
        </is>
      </c>
    </row>
    <row r="13">
      <c r="A13" t="inlineStr">
        <is>
          <t>ESCO kWh/therms honesty</t>
        </is>
      </c>
      <c r="B13" t="inlineStr">
        <is>
          <t>Formula-backed: ECM-AHU-SCHED-ALIGN, ECM-BOILER-RESET, ECM-CHILLER-LOCKOUT, ECM-DSP-RESET, ECM-ERV, ECM-OCC-STANDBY-DCV, ECM-PREMIUM-FAN-VFD, ECM-SAT-RESET. Others: Python proxy at build. Screening — not investment-grade.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22" customWidth="1" min="4" max="4"/>
    <col width="14" customWidth="1" min="5" max="5"/>
    <col width="12" customWidth="1" min="6" max="6"/>
    <col width="18" customWidth="1" min="7" max="7"/>
  </cols>
  <sheetData>
    <row r="1">
      <c r="A1" s="6" t="inlineStr">
        <is>
          <t>Measure charts (formula-linked — trace to Compare · ESCO_Calcs · Screening_Results)</t>
        </is>
      </c>
    </row>
    <row r="2">
      <c r="A2" t="inlineStr">
        <is>
          <t>Chart_Data rows reference live workbook formulas. When Twin cascade is missing, twin_kwh and % diff stay blank; screening charts still plot.</t>
        </is>
      </c>
    </row>
    <row r="4">
      <c r="A4" s="2" t="inlineStr">
        <is>
          <t>measure_id</t>
        </is>
      </c>
      <c r="B4" s="2" t="inlineStr">
        <is>
          <t>screening_kwh</t>
        </is>
      </c>
      <c r="C4" s="2" t="inlineStr">
        <is>
          <t>twin_kwh</t>
        </is>
      </c>
      <c r="D4" s="2" t="inlineStr">
        <is>
          <t>pct_diff_twin_vs_screening</t>
        </is>
      </c>
      <c r="E4" s="2" t="inlineStr">
        <is>
          <t>annual_usd</t>
        </is>
      </c>
      <c r="F4" s="2" t="inlineStr">
        <is>
          <t>payback_yr</t>
        </is>
      </c>
      <c r="G4" s="2" t="inlineStr">
        <is>
          <t>chart_label</t>
        </is>
      </c>
    </row>
    <row r="5">
      <c r="A5" t="inlineStr">
        <is>
          <t>ECM-AHU-SCHED-ALIGN</t>
        </is>
      </c>
      <c r="B5">
        <f>ESCO_Calcs!B2</f>
        <v/>
      </c>
      <c r="C5" t="inlineStr"/>
      <c r="D5" t="inlineStr"/>
      <c r="E5">
        <f>Screening_Results!F2</f>
        <v/>
      </c>
      <c r="F5">
        <f>Screening_Results!H2</f>
        <v/>
      </c>
      <c r="G5" t="inlineStr">
        <is>
          <t>ALIGN</t>
        </is>
      </c>
    </row>
    <row r="6">
      <c r="A6" t="inlineStr">
        <is>
          <t>ECM-OA-DAMPER-REPAIR</t>
        </is>
      </c>
      <c r="B6">
        <f>ESCO_Calcs!B3</f>
        <v/>
      </c>
      <c r="C6" t="inlineStr"/>
      <c r="D6" t="inlineStr"/>
      <c r="E6">
        <f>Screening_Results!F3</f>
        <v/>
      </c>
      <c r="F6">
        <f>Screening_Results!H3</f>
        <v/>
      </c>
      <c r="G6" t="inlineStr">
        <is>
          <t>REPAIR</t>
        </is>
      </c>
    </row>
    <row r="7">
      <c r="A7" t="inlineStr">
        <is>
          <t>ECM-SENSOR-CRITICAL-REFRESH</t>
        </is>
      </c>
      <c r="B7">
        <f>ESCO_Calcs!B4</f>
        <v/>
      </c>
      <c r="C7" t="inlineStr"/>
      <c r="D7" t="inlineStr"/>
      <c r="E7">
        <f>Screening_Results!F4</f>
        <v/>
      </c>
      <c r="F7">
        <f>Screening_Results!H4</f>
        <v/>
      </c>
      <c r="G7" t="inlineStr">
        <is>
          <t>REFRESH</t>
        </is>
      </c>
    </row>
    <row r="8">
      <c r="A8" t="inlineStr">
        <is>
          <t>ECM-OCC-STANDBY-DCV</t>
        </is>
      </c>
      <c r="B8">
        <f>ESCO_Calcs!B5</f>
        <v/>
      </c>
      <c r="C8" t="inlineStr"/>
      <c r="D8" t="inlineStr"/>
      <c r="E8">
        <f>Screening_Results!F5</f>
        <v/>
      </c>
      <c r="F8">
        <f>Screening_Results!H5</f>
        <v/>
      </c>
      <c r="G8" t="inlineStr">
        <is>
          <t>DCV</t>
        </is>
      </c>
    </row>
    <row r="9">
      <c r="A9" t="inlineStr">
        <is>
          <t>ECM-CHILLER-LOCKOUT</t>
        </is>
      </c>
      <c r="B9">
        <f>ESCO_Calcs!B6</f>
        <v/>
      </c>
      <c r="C9" t="inlineStr"/>
      <c r="D9" t="inlineStr"/>
      <c r="E9">
        <f>Screening_Results!F6</f>
        <v/>
      </c>
      <c r="F9">
        <f>Screening_Results!H6</f>
        <v/>
      </c>
      <c r="G9" t="inlineStr">
        <is>
          <t>LOCKOUT</t>
        </is>
      </c>
    </row>
    <row r="10">
      <c r="A10" t="inlineStr">
        <is>
          <t>ECM-SENSOR-CALIBRATION</t>
        </is>
      </c>
      <c r="B10">
        <f>ESCO_Calcs!B7</f>
        <v/>
      </c>
      <c r="C10" t="inlineStr"/>
      <c r="D10" t="inlineStr"/>
      <c r="E10">
        <f>Screening_Results!F7</f>
        <v/>
      </c>
      <c r="F10">
        <f>Screening_Results!H7</f>
        <v/>
      </c>
      <c r="G10" t="inlineStr">
        <is>
          <t>CALIBRATION</t>
        </is>
      </c>
    </row>
    <row r="11">
      <c r="A11" t="inlineStr">
        <is>
          <t>ECM-RCX-SETPOINT-REVIEW</t>
        </is>
      </c>
      <c r="B11">
        <f>ESCO_Calcs!B8</f>
        <v/>
      </c>
      <c r="C11" t="inlineStr"/>
      <c r="D11" t="inlineStr"/>
      <c r="E11">
        <f>Screening_Results!F8</f>
        <v/>
      </c>
      <c r="F11">
        <f>Screening_Results!H8</f>
        <v/>
      </c>
      <c r="G11" t="inlineStr">
        <is>
          <t>REVIEW</t>
        </is>
      </c>
    </row>
    <row r="40">
      <c r="I40" t="inlineStr">
        <is>
          <t>Twin charts pending</t>
        </is>
      </c>
    </row>
    <row r="41">
      <c r="I41" t="inlineStr">
        <is>
          <t>No measure-level EnergyPlus cascade — attach savings_by_measure to populate twin_kwh and % diff columns, then refresh Charts.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WattLab</dc:creator>
  <dc:title xmlns:dc="http://purl.org/dc/elements/1.1/">WattLab notebook · controls_first</dc:title>
  <dcterms:created xmlns:dcterms="http://purl.org/dc/terms/" xmlns:xsi="http://www.w3.org/2001/XMLSchema-instance" xsi:type="dcterms:W3CDTF">2026-07-25T19:56:47Z</dcterms:created>
  <dcterms:modified xmlns:dcterms="http://purl.org/dc/terms/" xmlns:xsi="http://www.w3.org/2001/XMLSchema-instance" xsi:type="dcterms:W3CDTF">2026-07-27T13:45:09Z</dcterms:modified>
</cp:coreProperties>
</file>