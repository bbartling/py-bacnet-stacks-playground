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Baseline" sheetId="1" state="visible" r:id="rId1"/>
    <sheet xmlns:r="http://schemas.openxmlformats.org/officeDocument/2006/relationships" name="Crosscheck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Calc_DSP" sheetId="4" state="visible" r:id="rId4"/>
    <sheet xmlns:r="http://schemas.openxmlformats.org/officeDocument/2006/relationships" name="Calc_SAT" sheetId="5" state="visible" r:id="rId5"/>
    <sheet xmlns:r="http://schemas.openxmlformats.org/officeDocument/2006/relationships" name="Calc_Lockout" sheetId="6" state="visible" r:id="rId6"/>
    <sheet xmlns:r="http://schemas.openxmlformats.org/officeDocument/2006/relationships" name="Calc_Cost" sheetId="7" state="visible" r:id="rId7"/>
    <sheet xmlns:r="http://schemas.openxmlformats.org/officeDocument/2006/relationships" name="Twin_Measures" sheetId="8" state="visible" r:id="rId8"/>
    <sheet xmlns:r="http://schemas.openxmlformats.org/officeDocument/2006/relationships" name="Guardrails" sheetId="9" state="visible" r:id="rId9"/>
    <sheet xmlns:r="http://schemas.openxmlformats.org/officeDocument/2006/relationships" name="Docs" sheetId="10" state="visible" r:id="rId10"/>
  </sheets>
  <definedNames>
    <definedName name="inp_area_ft2">'Baseline'!$B$17</definedName>
    <definedName name="inp_cooling_tons">'Baseline'!$B$18</definedName>
    <definedName name="inp_fan_hp">'Baseline'!$B$19</definedName>
    <definedName name="inp_elec_rate">'Baseline'!$B$20</definedName>
    <definedName name="inp_gas_rate">'Baseline'!$B$21</definedName>
    <definedName name="inp_discount">'Baseline'!$B$22</definedName>
    <definedName name="inp_escalation">'Baseline'!$B$23</definedName>
    <definedName name="inp_life_years">'Baseline'!$B$24</definedName>
    <definedName name="inp_controls_usd_sf">'Baseline'!$B$25</definedName>
    <definedName name="inp_mech_vav_balance_usd">'Baseline'!$B$26</definedName>
    <definedName name="inp_fan_hours">'Baseline'!$B$27</definedName>
    <definedName name="inp_fan_speed_old">'Baseline'!$B$28</definedName>
    <definedName name="inp_fan_speed_new">'Baseline'!$B$29</definedName>
    <definedName name="inp_kw_per_ton">'Baseline'!$B$30</definedName>
    <definedName name="inp_lockout_hours">'Baseline'!$B$31</definedName>
    <definedName name="inp_lockout_oat_f">'Baseline'!$B$32</definedName>
    <definedName name="inp_sat_hours">'Baseline'!$B$33</definedName>
    <definedName name="inp_sat_frac">'Baseline'!$B$34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  <color rgb="00FFFFFF"/>
    </font>
    <font>
      <b val="1"/>
      <sz val="14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ESCO Calc vs Twin (kWh/yr)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'Charts'!$F$5:$F$7</f>
            </numRef>
          </cat>
          <val>
            <numRef>
              <f>'Charts'!$B$5:$B$7</f>
            </numRef>
          </val>
        </ser>
        <ser>
          <idx val="1"/>
          <order val="1"/>
          <tx>
            <strRef>
              <f>'Charts'!C4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'Charts'!$F$5:$F$7</f>
            </numRef>
          </cat>
          <val>
            <numRef>
              <f>'Charts'!$C$5:$C$7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kWh/yr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ESCO annual $ saved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'Charts'!$F$5:$F$7</f>
            </numRef>
          </cat>
          <val>
            <numRef>
              <f>'Charts'!$E$5:$E$7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4" max="4"/>
  </cols>
  <sheetData>
    <row r="1">
      <c r="A1" s="1" t="inlineStr">
        <is>
          <t>WattLab · G36 airside controls screening</t>
        </is>
      </c>
    </row>
    <row r="2">
      <c r="A2" t="inlineStr">
        <is>
          <t>DSP reset · SAT reset · chiller lockout &lt;60°F OAT — yellow cells are engineer inputs (named ranges). Calcs on Calc_* sheets.</t>
        </is>
      </c>
    </row>
    <row r="4">
      <c r="A4" t="inlineStr">
        <is>
          <t>Building</t>
        </is>
      </c>
      <c r="B4" t="inlineStr">
        <is>
          <t>BUILDING</t>
        </is>
      </c>
      <c r="C4" t="inlineStr"/>
    </row>
    <row r="5">
      <c r="A5" t="inlineStr">
        <is>
          <t>Package</t>
        </is>
      </c>
      <c r="B5" t="inlineStr">
        <is>
          <t>DSP reset + SAT reset + chiller lockout &lt;60°F — controls $/sf + VAV/TAB mechanical</t>
        </is>
      </c>
      <c r="C5" t="inlineStr"/>
    </row>
    <row r="6">
      <c r="A6" t="inlineStr">
        <is>
          <t>Package id</t>
        </is>
      </c>
      <c r="B6" t="inlineStr">
        <is>
          <t>g36_airside_controls</t>
        </is>
      </c>
      <c r="C6" t="inlineStr"/>
    </row>
    <row r="7">
      <c r="A7" t="inlineStr">
        <is>
          <t>Generated (UTC)</t>
        </is>
      </c>
      <c r="B7" t="inlineStr">
        <is>
          <t>2026-07-27T15:04:05Z</t>
        </is>
      </c>
      <c r="C7" t="inlineStr"/>
    </row>
    <row r="8">
      <c r="A8" t="inlineStr">
        <is>
          <t>Twin run</t>
        </is>
      </c>
      <c r="B8" t="inlineStr">
        <is>
          <t>(none)</t>
        </is>
      </c>
      <c r="C8" t="inlineStr"/>
    </row>
    <row r="9">
      <c r="A9" t="inlineStr">
        <is>
          <t>G14 pass</t>
        </is>
      </c>
      <c r="C9" t="inlineStr"/>
    </row>
    <row r="10">
      <c r="A10" t="inlineStr">
        <is>
          <t>Model site EUI</t>
        </is>
      </c>
      <c r="C10" t="inlineStr">
        <is>
          <t>kBtu/ft²-yr</t>
        </is>
      </c>
    </row>
    <row r="11">
      <c r="A11" t="inlineStr">
        <is>
          <t>Model kWh/yr</t>
        </is>
      </c>
      <c r="C11" t="inlineStr"/>
    </row>
    <row r="12">
      <c r="A12" t="inlineStr">
        <is>
          <t>Model therms/yr</t>
        </is>
      </c>
      <c r="C12" t="inlineStr"/>
    </row>
    <row r="15">
      <c r="A15" s="2" t="inlineStr">
        <is>
          <t>Rates &amp; package cost (yellow)</t>
        </is>
      </c>
    </row>
    <row r="16">
      <c r="A16" s="3" t="inlineStr">
        <is>
          <t>parameter</t>
        </is>
      </c>
      <c r="B16" s="3" t="inlineStr">
        <is>
          <t>value</t>
        </is>
      </c>
      <c r="C16" s="3" t="inlineStr">
        <is>
          <t>unit</t>
        </is>
      </c>
      <c r="D16" s="3" t="inlineStr">
        <is>
          <t>notes</t>
        </is>
      </c>
    </row>
    <row r="17">
      <c r="A17" t="inlineStr">
        <is>
          <t>area_ft2</t>
        </is>
      </c>
      <c r="B17" s="4" t="n">
        <v>100000</v>
      </c>
      <c r="C17" t="inlineStr">
        <is>
          <t>ft²</t>
        </is>
      </c>
      <c r="D17" t="inlineStr">
        <is>
          <t>Conditioned floor area</t>
        </is>
      </c>
    </row>
    <row r="18">
      <c r="A18" t="inlineStr">
        <is>
          <t>cooling_tons</t>
        </is>
      </c>
      <c r="B18" s="4" t="n">
        <v>400</v>
      </c>
      <c r="C18" t="inlineStr">
        <is>
          <t>tons</t>
        </is>
      </c>
      <c r="D18" t="inlineStr">
        <is>
          <t>Nameplate cooling</t>
        </is>
      </c>
    </row>
    <row r="19">
      <c r="A19" t="inlineStr">
        <is>
          <t>fan_hp</t>
        </is>
      </c>
      <c r="B19" s="4" t="n">
        <v>80</v>
      </c>
      <c r="C19" t="inlineStr">
        <is>
          <t>HP</t>
        </is>
      </c>
      <c r="D19" t="inlineStr">
        <is>
          <t>Supply fan nameplate</t>
        </is>
      </c>
    </row>
    <row r="20">
      <c r="A20" t="inlineStr">
        <is>
          <t>elec_rate</t>
        </is>
      </c>
      <c r="B20" s="4" t="n">
        <v>0.12</v>
      </c>
      <c r="C20" t="inlineStr">
        <is>
          <t>$/kWh</t>
        </is>
      </c>
      <c r="D20" t="inlineStr">
        <is>
          <t>Blended electric</t>
        </is>
      </c>
    </row>
    <row r="21">
      <c r="A21" t="inlineStr">
        <is>
          <t>gas_rate</t>
        </is>
      </c>
      <c r="B21" s="4" t="n">
        <v>0.8</v>
      </c>
      <c r="C21" t="inlineStr">
        <is>
          <t>$/therm</t>
        </is>
      </c>
      <c r="D21" t="inlineStr">
        <is>
          <t>Blended gas</t>
        </is>
      </c>
    </row>
    <row r="22">
      <c r="A22" t="inlineStr">
        <is>
          <t>discount</t>
        </is>
      </c>
      <c r="B22" s="4" t="n">
        <v>0.05</v>
      </c>
      <c r="C22" t="inlineStr">
        <is>
          <t>fraction</t>
        </is>
      </c>
      <c r="D22" t="inlineStr">
        <is>
          <t>NPV discount</t>
        </is>
      </c>
    </row>
    <row r="23">
      <c r="A23" t="inlineStr">
        <is>
          <t>escalation</t>
        </is>
      </c>
      <c r="B23" s="4" t="n">
        <v>0.02</v>
      </c>
      <c r="C23" t="inlineStr">
        <is>
          <t>fraction</t>
        </is>
      </c>
      <c r="D23" t="inlineStr">
        <is>
          <t>Utility escalation</t>
        </is>
      </c>
    </row>
    <row r="24">
      <c r="A24" t="inlineStr">
        <is>
          <t>life_years</t>
        </is>
      </c>
      <c r="B24" s="4" t="n">
        <v>15</v>
      </c>
      <c r="C24" t="inlineStr">
        <is>
          <t>yr</t>
        </is>
      </c>
      <c r="D24" t="inlineStr">
        <is>
          <t>Measure life</t>
        </is>
      </c>
    </row>
    <row r="25">
      <c r="A25" t="inlineStr">
        <is>
          <t>controls_usd_sf</t>
        </is>
      </c>
      <c r="B25" s="4" t="n">
        <v>3</v>
      </c>
      <c r="C25" t="inlineStr">
        <is>
          <t>$/ft²</t>
        </is>
      </c>
      <c r="D25" t="inlineStr">
        <is>
          <t>BAS/G36 controls upgrade intensity</t>
        </is>
      </c>
    </row>
    <row r="26">
      <c r="A26" t="inlineStr">
        <is>
          <t>mech_vav_balance_usd</t>
        </is>
      </c>
      <c r="B26" s="4" t="n">
        <v>100000</v>
      </c>
      <c r="C26" t="inlineStr">
        <is>
          <t>$</t>
        </is>
      </c>
      <c r="D26" t="inlineStr">
        <is>
          <t>VAV resize + TAB/balance allowance</t>
        </is>
      </c>
    </row>
    <row r="27">
      <c r="A27" t="inlineStr">
        <is>
          <t>fan_hours</t>
        </is>
      </c>
      <c r="B27" s="4" t="n">
        <v>4000</v>
      </c>
      <c r="C27" t="inlineStr">
        <is>
          <t>h/yr</t>
        </is>
      </c>
      <c r="D27" t="inlineStr">
        <is>
          <t>Fan annual hours (DSP affinity)</t>
        </is>
      </c>
    </row>
    <row r="28">
      <c r="A28" t="inlineStr">
        <is>
          <t>fan_speed_old</t>
        </is>
      </c>
      <c r="B28" s="4" t="n">
        <v>0.85</v>
      </c>
      <c r="C28" t="inlineStr">
        <is>
          <t>0–1</t>
        </is>
      </c>
      <c r="D28" t="inlineStr">
        <is>
          <t>Baseline fan speed fraction</t>
        </is>
      </c>
    </row>
    <row r="29">
      <c r="A29" t="inlineStr">
        <is>
          <t>fan_speed_new</t>
        </is>
      </c>
      <c r="B29" s="4" t="n">
        <v>0.7</v>
      </c>
      <c r="C29" t="inlineStr">
        <is>
          <t>0–1</t>
        </is>
      </c>
      <c r="D29" t="inlineStr">
        <is>
          <t>Proposed DSP-reset speed fraction</t>
        </is>
      </c>
    </row>
    <row r="30">
      <c r="A30" t="inlineStr">
        <is>
          <t>kw_per_ton</t>
        </is>
      </c>
      <c r="B30" s="4" t="n">
        <v>0.65</v>
      </c>
      <c r="C30" t="inlineStr">
        <is>
          <t>kW/ton</t>
        </is>
      </c>
      <c r="D30" t="inlineStr">
        <is>
          <t>Cooling plant intensity</t>
        </is>
      </c>
    </row>
    <row r="31">
      <c r="A31" t="inlineStr">
        <is>
          <t>lockout_hours</t>
        </is>
      </c>
      <c r="B31" s="4" t="n">
        <v>800</v>
      </c>
      <c r="C31" t="inlineStr">
        <is>
          <t>h/yr</t>
        </is>
      </c>
      <c r="D31" t="inlineStr">
        <is>
          <t>Hours OAT below lockout with chillers on today</t>
        </is>
      </c>
    </row>
    <row r="32">
      <c r="A32" t="inlineStr">
        <is>
          <t>lockout_oat_f</t>
        </is>
      </c>
      <c r="B32" s="4" t="n">
        <v>60</v>
      </c>
      <c r="C32" t="inlineStr">
        <is>
          <t>°F</t>
        </is>
      </c>
      <c r="D32" t="inlineStr">
        <is>
          <t>Chiller lockout outdoor-air setpoint</t>
        </is>
      </c>
    </row>
    <row r="33">
      <c r="A33" t="inlineStr">
        <is>
          <t>sat_hours</t>
        </is>
      </c>
      <c r="B33" s="4" t="n">
        <v>3500</v>
      </c>
      <c r="C33" t="inlineStr">
        <is>
          <t>h/yr</t>
        </is>
      </c>
      <c r="D33" t="inlineStr">
        <is>
          <t>SAT-reset eligible hours</t>
        </is>
      </c>
    </row>
    <row r="34">
      <c r="A34" t="inlineStr">
        <is>
          <t>sat_frac</t>
        </is>
      </c>
      <c r="B34" s="4" t="n">
        <v>0.08</v>
      </c>
      <c r="C34" t="inlineStr">
        <is>
          <t>0–1</t>
        </is>
      </c>
      <c r="D34" t="inlineStr">
        <is>
          <t>Fractional cooling savings from SAT reset</t>
        </is>
      </c>
    </row>
    <row r="37">
      <c r="A37" t="inlineStr">
        <is>
          <t>Package cost formula</t>
        </is>
      </c>
      <c r="B37">
        <f>inp_controls_usd_sf*inp_area_ft2+inp_mech_vav_balance_usd</f>
        <v/>
      </c>
    </row>
    <row r="38">
      <c r="A38" t="inlineStr">
        <is>
          <t>Honesty</t>
        </is>
      </c>
      <c r="B38" t="inlineStr">
        <is>
          <t>Screening ≠ bid. Crosscheck = ESCO Calc_* vs Twin vs_baseline. Calc_Cost payback only when annual $ saved &gt;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28" customWidth="1" min="9" max="9"/>
    <col width="10" customWidth="1" min="10" max="10"/>
  </cols>
  <sheetData>
    <row r="1">
      <c r="A1" s="5" t="inlineStr">
        <is>
          <t>ESCO spreadsheet vs Twin (vs_baseline) — engineer eval</t>
        </is>
      </c>
    </row>
    <row r="2">
      <c r="A2" t="inlineStr">
        <is>
          <t>esco_* from live Calc_* formulas; ep_* from Twin_Measures. Ratio = Twin/ESCO. RED = investigate inputs or Twin cascade.</t>
        </is>
      </c>
    </row>
    <row r="4">
      <c r="A4" s="3" t="inlineStr">
        <is>
          <t>measure_id</t>
        </is>
      </c>
      <c r="B4" s="3" t="inlineStr">
        <is>
          <t>esco_kwh</t>
        </is>
      </c>
      <c r="C4" s="3" t="inlineStr">
        <is>
          <t>ep_kwh</t>
        </is>
      </c>
      <c r="D4" s="3" t="inlineStr">
        <is>
          <t>delta_kwh</t>
        </is>
      </c>
      <c r="E4" s="3" t="inlineStr">
        <is>
          <t>ratio_ep_esco</t>
        </is>
      </c>
      <c r="F4" s="3" t="inlineStr">
        <is>
          <t>esco_therms</t>
        </is>
      </c>
      <c r="G4" s="3" t="inlineStr">
        <is>
          <t>ep_therms</t>
        </is>
      </c>
      <c r="H4" s="3" t="inlineStr">
        <is>
          <t>esco_usd</t>
        </is>
      </c>
      <c r="I4" s="3" t="inlineStr">
        <is>
          <t>verdict</t>
        </is>
      </c>
      <c r="J4" s="3" t="inlineStr">
        <is>
          <t>light</t>
        </is>
      </c>
    </row>
    <row r="5">
      <c r="A5" t="inlineStr">
        <is>
          <t>ECM-DSP-RESET</t>
        </is>
      </c>
      <c r="B5">
        <f>Calc_DSP!E12</f>
        <v/>
      </c>
      <c r="C5" t="inlineStr"/>
      <c r="D5" t="inlineStr"/>
      <c r="E5" t="inlineStr"/>
      <c r="F5">
        <f>Calc_DSP!E13</f>
        <v/>
      </c>
      <c r="G5" t="inlineStr"/>
      <c r="H5">
        <f>Calc_DSP!E14</f>
        <v/>
      </c>
      <c r="I5" t="inlineStr">
        <is>
          <t>ESCO_ONLY_NO_EP</t>
        </is>
      </c>
      <c r="J5" t="inlineStr">
        <is>
          <t>N/A</t>
        </is>
      </c>
    </row>
    <row r="6">
      <c r="A6" t="inlineStr">
        <is>
          <t>ECM-SAT-RESET</t>
        </is>
      </c>
      <c r="B6">
        <f>Calc_SAT!E12</f>
        <v/>
      </c>
      <c r="C6" t="inlineStr"/>
      <c r="D6" t="inlineStr"/>
      <c r="E6" t="inlineStr"/>
      <c r="F6">
        <f>Calc_SAT!E13</f>
        <v/>
      </c>
      <c r="G6" t="inlineStr"/>
      <c r="H6">
        <f>Calc_SAT!E14</f>
        <v/>
      </c>
      <c r="I6" t="inlineStr">
        <is>
          <t>ESCO_ONLY_NO_EP</t>
        </is>
      </c>
      <c r="J6" t="inlineStr">
        <is>
          <t>N/A</t>
        </is>
      </c>
    </row>
    <row r="7">
      <c r="A7" t="inlineStr">
        <is>
          <t>ECM-CHILLER-LOCKOUT</t>
        </is>
      </c>
      <c r="B7">
        <f>Calc_Lockout!E12</f>
        <v/>
      </c>
      <c r="C7" t="inlineStr"/>
      <c r="D7" t="inlineStr"/>
      <c r="E7" t="inlineStr"/>
      <c r="F7">
        <f>Calc_Lockout!E13</f>
        <v/>
      </c>
      <c r="G7" t="inlineStr"/>
      <c r="H7">
        <f>Calc_Lockout!E14</f>
        <v/>
      </c>
      <c r="I7" t="inlineStr">
        <is>
          <t>ESCO_ONLY_NO_EP</t>
        </is>
      </c>
      <c r="J7" t="inlineStr">
        <is>
          <t>N/A</t>
        </is>
      </c>
    </row>
    <row r="9">
      <c r="A9" t="inlineStr">
        <is>
          <t>note</t>
        </is>
      </c>
      <c r="B9" t="inlineStr">
        <is>
          <t>Twin cascade pending — ESCO columns still live from Calc_*. Run cascade-from-twin to fill ep_*.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>
      <c r="A1" s="5" t="inlineStr">
        <is>
          <t>Report charts — formula-linked to Crosscheck</t>
        </is>
      </c>
    </row>
    <row r="2">
      <c r="A2" t="inlineStr">
        <is>
          <t>Trace every bar to Crosscheck → Calc_* / Twin_Measures.</t>
        </is>
      </c>
    </row>
    <row r="4">
      <c r="A4" s="3" t="inlineStr">
        <is>
          <t>measure_id</t>
        </is>
      </c>
      <c r="B4" s="3" t="inlineStr">
        <is>
          <t>esco_kwh</t>
        </is>
      </c>
      <c r="C4" s="3" t="inlineStr">
        <is>
          <t>twin_kwh</t>
        </is>
      </c>
      <c r="D4" s="3" t="inlineStr">
        <is>
          <t>pct_diff</t>
        </is>
      </c>
      <c r="E4" s="3" t="inlineStr">
        <is>
          <t>esco_usd</t>
        </is>
      </c>
      <c r="F4" s="3" t="inlineStr">
        <is>
          <t>chart_label</t>
        </is>
      </c>
    </row>
    <row r="5">
      <c r="A5" t="inlineStr">
        <is>
          <t>ECM-DSP-RESET</t>
        </is>
      </c>
      <c r="B5">
        <f>Crosscheck!B5</f>
        <v/>
      </c>
      <c r="C5">
        <f>Crosscheck!C5</f>
        <v/>
      </c>
      <c r="D5">
        <f>IF(OR(B5=0,C5=""),"",(C5-B5)/B5)</f>
        <v/>
      </c>
      <c r="E5">
        <f>Crosscheck!H5</f>
        <v/>
      </c>
      <c r="F5" t="inlineStr">
        <is>
          <t>DSP-RESET</t>
        </is>
      </c>
    </row>
    <row r="6">
      <c r="A6" t="inlineStr">
        <is>
          <t>ECM-SAT-RESET</t>
        </is>
      </c>
      <c r="B6">
        <f>Crosscheck!B6</f>
        <v/>
      </c>
      <c r="C6">
        <f>Crosscheck!C6</f>
        <v/>
      </c>
      <c r="D6">
        <f>IF(OR(B6=0,C6=""),"",(C6-B6)/B6)</f>
        <v/>
      </c>
      <c r="E6">
        <f>Crosscheck!H6</f>
        <v/>
      </c>
      <c r="F6" t="inlineStr">
        <is>
          <t>SAT-RESET</t>
        </is>
      </c>
    </row>
    <row r="7">
      <c r="A7" t="inlineStr">
        <is>
          <t>ECM-CHILLER-LOCKOUT</t>
        </is>
      </c>
      <c r="B7">
        <f>Crosscheck!B7</f>
        <v/>
      </c>
      <c r="C7">
        <f>Crosscheck!C7</f>
        <v/>
      </c>
      <c r="D7">
        <f>IF(OR(B7=0,C7=""),"",(C7-B7)/B7)</f>
        <v/>
      </c>
      <c r="E7">
        <f>Crosscheck!H7</f>
        <v/>
      </c>
      <c r="F7" t="inlineStr">
        <is>
          <t>CHILLER-LOCKOUT</t>
        </is>
      </c>
    </row>
    <row r="40">
      <c r="H40" t="inlineStr">
        <is>
          <t>Twin % diff chart after cascade-from-twin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4" max="4"/>
    <col width="14" customWidth="1" min="5" max="5"/>
  </cols>
  <sheetData>
    <row r="1">
      <c r="A1" s="6" t="inlineStr">
        <is>
          <t>ECM-DSP-RESET · Duct static pressure reset</t>
        </is>
      </c>
    </row>
    <row r="2">
      <c r="A2" t="inlineStr">
        <is>
          <t>WattLab screening — fan affinity (power ∝ speed³). Yellow = inputs.</t>
        </is>
      </c>
    </row>
    <row r="4">
      <c r="A4" s="2" t="inlineStr">
        <is>
          <t>Inputs</t>
        </is>
      </c>
      <c r="D4" s="2" t="inlineStr">
        <is>
          <t>Derived / Results</t>
        </is>
      </c>
    </row>
    <row r="5">
      <c r="A5" s="3" t="inlineStr">
        <is>
          <t>parameter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result</t>
        </is>
      </c>
      <c r="E5" s="3" t="inlineStr">
        <is>
          <t>value</t>
        </is>
      </c>
    </row>
    <row r="6">
      <c r="A6" t="inlineStr">
        <is>
          <t>Fan HP</t>
        </is>
      </c>
      <c r="B6" s="4">
        <f>inp_fan_hp</f>
        <v/>
      </c>
      <c r="C6" t="inlineStr">
        <is>
          <t>HP</t>
        </is>
      </c>
      <c r="D6" t="inlineStr">
        <is>
          <t>Rated input power (kW)</t>
        </is>
      </c>
      <c r="E6">
        <f>IF(OR(B6="",B6=0),0,B6*0.746/B7/B8)</f>
        <v/>
      </c>
    </row>
    <row r="7">
      <c r="A7" t="inlineStr">
        <is>
          <t>Motor efficiency</t>
        </is>
      </c>
      <c r="B7" s="4" t="n">
        <v>0.93</v>
      </c>
      <c r="C7" t="inlineStr">
        <is>
          <t>decimal</t>
        </is>
      </c>
      <c r="D7" t="inlineStr">
        <is>
          <t>Old speed (fraction)</t>
        </is>
      </c>
      <c r="E7">
        <f>B9</f>
        <v/>
      </c>
    </row>
    <row r="8">
      <c r="A8" t="inlineStr">
        <is>
          <t>VFD efficiency</t>
        </is>
      </c>
      <c r="B8" s="4" t="n">
        <v>0.97</v>
      </c>
      <c r="C8" t="inlineStr">
        <is>
          <t>decimal</t>
        </is>
      </c>
      <c r="D8" t="inlineStr">
        <is>
          <t>New speed (fraction)</t>
        </is>
      </c>
      <c r="E8">
        <f>B10</f>
        <v/>
      </c>
    </row>
    <row r="9">
      <c r="A9" t="inlineStr">
        <is>
          <t>Old speed (fraction)</t>
        </is>
      </c>
      <c r="B9" s="4">
        <f>inp_fan_speed_old</f>
        <v/>
      </c>
      <c r="C9" t="inlineStr">
        <is>
          <t>0–1</t>
        </is>
      </c>
      <c r="D9" t="inlineStr">
        <is>
          <t>Old power (kW)</t>
        </is>
      </c>
      <c r="E9">
        <f>E6*E7^3</f>
        <v/>
      </c>
    </row>
    <row r="10">
      <c r="A10" t="inlineStr">
        <is>
          <t>New speed (fraction)</t>
        </is>
      </c>
      <c r="B10" s="4">
        <f>inp_fan_speed_new</f>
        <v/>
      </c>
      <c r="C10" t="inlineStr">
        <is>
          <t>0–1</t>
        </is>
      </c>
      <c r="D10" t="inlineStr">
        <is>
          <t>New power (kW)</t>
        </is>
      </c>
      <c r="E10">
        <f>E6*E8^3</f>
        <v/>
      </c>
    </row>
    <row r="11">
      <c r="A11" t="inlineStr">
        <is>
          <t>Fan hours / yr</t>
        </is>
      </c>
      <c r="B11" s="4">
        <f>inp_fan_hours</f>
        <v/>
      </c>
      <c r="C11" t="inlineStr">
        <is>
          <t>h/yr</t>
        </is>
      </c>
      <c r="D11" t="inlineStr">
        <is>
          <t>Power saved (kW)</t>
        </is>
      </c>
      <c r="E11">
        <f>MAX(0,E9-E10)</f>
        <v/>
      </c>
    </row>
    <row r="12">
      <c r="A12" t="inlineStr">
        <is>
          <t>Electric rate</t>
        </is>
      </c>
      <c r="B12" s="4">
        <f>inp_elec_rate</f>
        <v/>
      </c>
      <c r="C12" t="inlineStr">
        <is>
          <t>$/kWh</t>
        </is>
      </c>
      <c r="D12" t="inlineStr">
        <is>
          <t>Energy saved (kWh/yr)</t>
        </is>
      </c>
      <c r="E12">
        <f>E11*B11</f>
        <v/>
      </c>
    </row>
    <row r="13">
      <c r="D13" t="inlineStr">
        <is>
          <t>Gas saved (therms/yr)</t>
        </is>
      </c>
      <c r="E13" t="n">
        <v>0</v>
      </c>
    </row>
    <row r="14">
      <c r="D14" t="inlineStr">
        <is>
          <t>Cost saved ($/yr)</t>
        </is>
      </c>
      <c r="E14">
        <f>E12*B12+E13*inp_gas_rate</f>
        <v/>
      </c>
    </row>
    <row r="15">
      <c r="A15" s="2" t="inlineStr">
        <is>
          <t>Notes</t>
        </is>
      </c>
      <c r="D15" t="inlineStr">
        <is>
          <t>Power reduction (%)</t>
        </is>
      </c>
      <c r="E15">
        <f>IF(E9=0,"", (E9-E10)/E9)</f>
        <v/>
      </c>
    </row>
    <row r="16">
      <c r="A16" t="inlineStr">
        <is>
          <t>Affinity: power ∝ speed³ at constant efficiency. DSP reset lowers duct pressure → lower fan speed. Cross-check Twin on Crosscheck / Charts. Screening ≠ investment-grade.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4" max="4"/>
  </cols>
  <sheetData>
    <row r="1">
      <c r="A1" s="6" t="inlineStr">
        <is>
          <t>ECM-SAT-RESET · Supply / leaving-air temperature reset</t>
        </is>
      </c>
    </row>
    <row r="2">
      <c r="A2" t="inlineStr">
        <is>
          <t>Cooling plant intensity × eligible hours × savings fraction.</t>
        </is>
      </c>
    </row>
    <row r="4">
      <c r="A4" s="2" t="inlineStr">
        <is>
          <t>Inputs</t>
        </is>
      </c>
      <c r="D4" s="2" t="inlineStr">
        <is>
          <t>Derived / Results</t>
        </is>
      </c>
    </row>
    <row r="5">
      <c r="A5" s="3" t="inlineStr">
        <is>
          <t>parameter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result</t>
        </is>
      </c>
      <c r="E5" s="3" t="inlineStr">
        <is>
          <t>value</t>
        </is>
      </c>
    </row>
    <row r="6">
      <c r="A6" t="inlineStr">
        <is>
          <t>Cooling tons</t>
        </is>
      </c>
      <c r="B6" s="4">
        <f>inp_cooling_tons</f>
        <v/>
      </c>
      <c r="C6" t="inlineStr">
        <is>
          <t>tons</t>
        </is>
      </c>
      <c r="D6" t="inlineStr">
        <is>
          <t>Plant kW (full)</t>
        </is>
      </c>
      <c r="E6">
        <f>IF(OR(B6="",B6=0),0,B6*B7)</f>
        <v/>
      </c>
    </row>
    <row r="7">
      <c r="A7" t="inlineStr">
        <is>
          <t>kW / ton</t>
        </is>
      </c>
      <c r="B7" s="4">
        <f>inp_kw_per_ton</f>
        <v/>
      </c>
      <c r="C7" t="inlineStr">
        <is>
          <t>kW/ton</t>
        </is>
      </c>
    </row>
    <row r="8">
      <c r="A8" t="inlineStr">
        <is>
          <t>SAT-eligible hours</t>
        </is>
      </c>
      <c r="B8" s="4">
        <f>inp_sat_hours</f>
        <v/>
      </c>
      <c r="C8" t="inlineStr">
        <is>
          <t>h/yr</t>
        </is>
      </c>
    </row>
    <row r="9">
      <c r="A9" t="inlineStr">
        <is>
          <t>Savings fraction</t>
        </is>
      </c>
      <c r="B9" s="4">
        <f>inp_sat_frac</f>
        <v/>
      </c>
      <c r="C9" t="inlineStr">
        <is>
          <t>0–1</t>
        </is>
      </c>
    </row>
    <row r="10">
      <c r="A10" t="inlineStr">
        <is>
          <t>Electric rate</t>
        </is>
      </c>
      <c r="B10" s="4">
        <f>inp_elec_rate</f>
        <v/>
      </c>
      <c r="C10" t="inlineStr">
        <is>
          <t>$/kWh</t>
        </is>
      </c>
    </row>
    <row r="12">
      <c r="D12" t="inlineStr">
        <is>
          <t>Energy saved (kWh/yr)</t>
        </is>
      </c>
      <c r="E12">
        <f>IF(OR(B6="",B6=0),0,B6*B7*B8*B9)</f>
        <v/>
      </c>
    </row>
    <row r="13">
      <c r="D13" t="inlineStr">
        <is>
          <t>Gas saved (therms/yr)</t>
        </is>
      </c>
      <c r="E13" t="n">
        <v>0</v>
      </c>
    </row>
    <row r="14">
      <c r="A14" s="2" t="inlineStr">
        <is>
          <t>Notes</t>
        </is>
      </c>
      <c r="D14" t="inlineStr">
        <is>
          <t>Cost saved ($/yr)</t>
        </is>
      </c>
      <c r="E14">
        <f>E12*B10+E13*inp_gas_rate</f>
        <v/>
      </c>
    </row>
    <row r="15">
      <c r="A15" t="inlineStr">
        <is>
          <t>G36 trim-and-respond raises SAT when zones are satisfied → less reheat and chiller load. Fraction is a screening knob — calibrate against Twin Crosscheck.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4" max="4"/>
  </cols>
  <sheetData>
    <row r="1">
      <c r="A1" s="6" t="inlineStr">
        <is>
          <t>ECM-CHILLER-LOCKOUT · No chiller runtime below lockout OAT</t>
        </is>
      </c>
    </row>
    <row r="2">
      <c r="A2" t="inlineStr">
        <is>
          <t>Default lockout = 60°F. Hours = time chillers run today below that OAT.</t>
        </is>
      </c>
    </row>
    <row r="4">
      <c r="A4" s="2" t="inlineStr">
        <is>
          <t>Inputs</t>
        </is>
      </c>
      <c r="D4" s="2" t="inlineStr">
        <is>
          <t>Derived / Results</t>
        </is>
      </c>
    </row>
    <row r="5">
      <c r="A5" s="3" t="inlineStr">
        <is>
          <t>parameter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result</t>
        </is>
      </c>
      <c r="E5" s="3" t="inlineStr">
        <is>
          <t>value</t>
        </is>
      </c>
    </row>
    <row r="6">
      <c r="A6" t="inlineStr">
        <is>
          <t>Cooling tons</t>
        </is>
      </c>
      <c r="B6" s="4">
        <f>inp_cooling_tons</f>
        <v/>
      </c>
      <c r="C6" t="inlineStr">
        <is>
          <t>tons</t>
        </is>
      </c>
    </row>
    <row r="7">
      <c r="A7" t="inlineStr">
        <is>
          <t>kW / ton</t>
        </is>
      </c>
      <c r="B7" s="4">
        <f>inp_kw_per_ton</f>
        <v/>
      </c>
      <c r="C7" t="inlineStr">
        <is>
          <t>kW/ton</t>
        </is>
      </c>
    </row>
    <row r="8">
      <c r="A8" t="inlineStr">
        <is>
          <t>Lockout OAT</t>
        </is>
      </c>
      <c r="B8" s="4">
        <f>inp_lockout_oat_f</f>
        <v/>
      </c>
      <c r="C8" t="inlineStr">
        <is>
          <t>°F</t>
        </is>
      </c>
    </row>
    <row r="9">
      <c r="A9" t="inlineStr">
        <is>
          <t>Lockout hours / yr</t>
        </is>
      </c>
      <c r="B9" s="4">
        <f>inp_lockout_hours</f>
        <v/>
      </c>
      <c r="C9" t="inlineStr">
        <is>
          <t>h/yr</t>
        </is>
      </c>
    </row>
    <row r="10">
      <c r="A10" t="inlineStr">
        <is>
          <t>Electric rate</t>
        </is>
      </c>
      <c r="B10" s="4">
        <f>inp_elec_rate</f>
        <v/>
      </c>
      <c r="C10" t="inlineStr">
        <is>
          <t>$/kWh</t>
        </is>
      </c>
    </row>
    <row r="12">
      <c r="D12" t="inlineStr">
        <is>
          <t>Energy saved (kWh/yr)</t>
        </is>
      </c>
      <c r="E12">
        <f>IF(OR(B6="",B6=0),0,B6*B7*B9)</f>
        <v/>
      </c>
    </row>
    <row r="13">
      <c r="D13" t="inlineStr">
        <is>
          <t>Gas saved (therms/yr)</t>
        </is>
      </c>
      <c r="E13" t="n">
        <v>0</v>
      </c>
    </row>
    <row r="14">
      <c r="A14" s="2" t="inlineStr">
        <is>
          <t>Notes</t>
        </is>
      </c>
      <c r="D14" t="inlineStr">
        <is>
          <t>Cost saved ($/yr)</t>
        </is>
      </c>
      <c r="E14">
        <f>E12*B10+E13*inp_gas_rate</f>
        <v/>
      </c>
    </row>
    <row r="15">
      <c r="A15" t="inlineStr">
        <is>
          <t>Disable chillers (enable free cooling / economizer path) when OAT &lt; lockout. Hours must come from trends or weather bin — blank tons → zero savings (honest).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4" max="4"/>
    <col width="16" customWidth="1" min="6" max="6"/>
  </cols>
  <sheetData>
    <row r="1">
      <c r="A1" s="6" t="inlineStr">
        <is>
          <t>Package cost &amp; ROI (honest)</t>
        </is>
      </c>
    </row>
    <row r="2">
      <c r="A2" t="inlineStr">
        <is>
          <t>Controls $/ft² × area + VAV/TAB mechanical. Payback/NPV blank when annual $ ≤ 0 — no fake ROI on zero-savings rows.</t>
        </is>
      </c>
    </row>
    <row r="4">
      <c r="A4" t="inlineStr">
        <is>
          <t>Package cost ($)</t>
        </is>
      </c>
      <c r="B4">
        <f>inp_controls_usd_sf*inp_area_ft2+inp_mech_vav_balance_usd</f>
        <v/>
      </c>
    </row>
    <row r="5">
      <c r="A5" t="inlineStr">
        <is>
          <t>Sum ESCO annual $ (Calc sheets)</t>
        </is>
      </c>
      <c r="B5">
        <f>Calc_DSP!E14+Calc_SAT!E14+Calc_Lockout!E14</f>
        <v/>
      </c>
    </row>
    <row r="6">
      <c r="A6" t="inlineStr">
        <is>
          <t>Simple payback (yr)</t>
        </is>
      </c>
      <c r="B6">
        <f>IF(B5&lt;=0,"n/a — no positive savings",B4/B5)</f>
        <v/>
      </c>
    </row>
    <row r="7">
      <c r="A7" t="inlineStr">
        <is>
          <t>NPV (escalated annuity)</t>
        </is>
      </c>
      <c r="B7">
        <f>IF(B5&lt;=0,"n/a",IF(ABS(inp_discount-inp_escalation)&lt;1E-9,-B4+B5*inp_life_years/(1+inp_discount),-B4+B5*(1-((1+inp_escalation)/(1+inp_discount))^inp_life_years)/(inp_discount-inp_escalation)))</f>
        <v/>
      </c>
    </row>
    <row r="9">
      <c r="A9" s="3" t="inlineStr">
        <is>
          <t>measure_id</t>
        </is>
      </c>
      <c r="B9" s="3" t="inlineStr">
        <is>
          <t>esco_kwh</t>
        </is>
      </c>
      <c r="C9" s="3" t="inlineStr">
        <is>
          <t>annual_usd</t>
        </is>
      </c>
      <c r="D9" s="3" t="inlineStr">
        <is>
          <t>allocated_cost_usd</t>
        </is>
      </c>
      <c r="E9" s="3" t="inlineStr">
        <is>
          <t>payback_yr</t>
        </is>
      </c>
      <c r="F9" s="3" t="inlineStr">
        <is>
          <t>npv_usd_at_build</t>
        </is>
      </c>
    </row>
    <row r="10">
      <c r="A10" t="inlineStr">
        <is>
          <t>ECM-DSP-RESET</t>
        </is>
      </c>
      <c r="B10">
        <f>Calc_DSP!E12</f>
        <v/>
      </c>
      <c r="C10">
        <f>Calc_DSP!E14</f>
        <v/>
      </c>
      <c r="D10" t="n">
        <v>81404.17</v>
      </c>
      <c r="E10">
        <f>IF(C10&lt;=0,"n/a",D10/C10)</f>
        <v/>
      </c>
      <c r="F10" t="n">
        <v>19791.89</v>
      </c>
    </row>
    <row r="11">
      <c r="A11" t="inlineStr">
        <is>
          <t>ECM-SAT-RESET</t>
        </is>
      </c>
      <c r="B11">
        <f>Calc_SAT!E12</f>
        <v/>
      </c>
      <c r="C11">
        <f>Calc_SAT!E14</f>
        <v/>
      </c>
      <c r="D11" t="n">
        <v>82598.92</v>
      </c>
      <c r="E11">
        <f>IF(C11&lt;=0,"n/a",D11/C11)</f>
        <v/>
      </c>
      <c r="F11" t="n">
        <v>20082.37</v>
      </c>
    </row>
    <row r="12">
      <c r="A12" t="inlineStr">
        <is>
          <t>ECM-CHILLER-LOCKOUT</t>
        </is>
      </c>
      <c r="B12">
        <f>Calc_Lockout!E12</f>
        <v/>
      </c>
      <c r="C12">
        <f>Calc_Lockout!E14</f>
        <v/>
      </c>
      <c r="D12" t="n">
        <v>235996.91</v>
      </c>
      <c r="E12">
        <f>IF(C12&lt;=0,"n/a",D12/C12)</f>
        <v/>
      </c>
      <c r="F12" t="n">
        <v>57378.2</v>
      </c>
    </row>
    <row r="14">
      <c r="A14" t="inlineStr">
        <is>
          <t>Honesty</t>
        </is>
      </c>
      <c r="B14" t="inlineStr">
        <is>
          <t>Package screening ≈ $3.0/sf controls + $100,000 mechanical. Not calibrated G14 ROI until Twin Crosscheck is GREEN.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5" max="5"/>
  </cols>
  <sheetData>
    <row r="1">
      <c r="A1" s="3" t="inlineStr">
        <is>
          <t>measure_id</t>
        </is>
      </c>
      <c r="B1" s="3" t="inlineStr">
        <is>
          <t>kwh_saved</t>
        </is>
      </c>
      <c r="C1" s="3" t="inlineStr">
        <is>
          <t>therms_saved</t>
        </is>
      </c>
      <c r="D1" s="3" t="inlineStr">
        <is>
          <t>peak_kw_delta</t>
        </is>
      </c>
      <c r="E1" s="3" t="inlineStr">
        <is>
          <t>source</t>
        </is>
      </c>
    </row>
    <row r="2">
      <c r="A2" t="inlineStr">
        <is>
          <t>note</t>
        </is>
      </c>
      <c r="B2" t="inlineStr">
        <is>
          <t>No measure-level EnergyPlus savings attached — see Baseline for G14. Cascade with: wattlab notebook cascade-from-twin --package g36_airside_controls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check</t>
        </is>
      </c>
      <c r="B1" s="3" t="inlineStr">
        <is>
          <t>status</t>
        </is>
      </c>
      <c r="C1" s="3" t="inlineStr">
        <is>
          <t>detail</t>
        </is>
      </c>
    </row>
    <row r="2">
      <c r="A2" t="inlineStr">
        <is>
          <t>overall_verdict</t>
        </is>
      </c>
      <c r="B2" t="inlineStr">
        <is>
          <t>INVESTIGATE</t>
        </is>
      </c>
      <c r="C2" t="inlineStr">
        <is>
          <t>investigate_count=3</t>
        </is>
      </c>
    </row>
    <row r="3">
      <c r="A3" t="inlineStr">
        <is>
          <t>baseline_eui_band</t>
        </is>
      </c>
      <c r="B3" t="inlineStr">
        <is>
          <t>skipped</t>
        </is>
      </c>
      <c r="C3" t="inlineStr">
        <is>
          <t>No site EUI provided (load bills first).</t>
        </is>
      </c>
    </row>
    <row r="4">
      <c r="A4" t="inlineStr">
        <is>
          <t>savings_fraction</t>
        </is>
      </c>
      <c r="B4" t="inlineStr">
        <is>
          <t>skipped</t>
        </is>
      </c>
      <c r="C4" t="inlineStr">
        <is>
          <t>No baseline consumption provided (load bills first).</t>
        </is>
      </c>
    </row>
    <row r="5">
      <c r="A5" t="inlineStr">
        <is>
          <t>measure_cost_band</t>
        </is>
      </c>
      <c r="B5" t="inlineStr">
        <is>
          <t>investigate</t>
        </is>
      </c>
      <c r="C5" t="inlineStr">
        <is>
          <t>ECM-DSP-RESET: $0.81/building_ft2 is above the 'rcx_tuning' reference band ($0.05-0.5, 2020$, high confidence).</t>
        </is>
      </c>
    </row>
    <row r="6">
      <c r="A6" t="inlineStr">
        <is>
          <t>measure_cost_band</t>
        </is>
      </c>
      <c r="B6" t="inlineStr">
        <is>
          <t>investigate</t>
        </is>
      </c>
      <c r="C6" t="inlineStr">
        <is>
          <t>ECM-SAT-RESET: $0.83/building_ft2 is above the 'rcx_tuning' reference band ($0.05-0.5, 2020$, high confidence).</t>
        </is>
      </c>
    </row>
    <row r="7">
      <c r="A7" t="inlineStr">
        <is>
          <t>measure_cost_band</t>
        </is>
      </c>
      <c r="B7" t="inlineStr">
        <is>
          <t>investigate</t>
        </is>
      </c>
      <c r="C7" t="inlineStr">
        <is>
          <t>ECM-CHILLER-LOCKOUT: $2.36/building_ft2 is above the 'rcx_tuning' reference band ($0.05-0.5, 2020$, high confidence).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6" t="inlineStr">
        <is>
          <t>Documentation</t>
        </is>
      </c>
    </row>
    <row r="3">
      <c r="A3" t="inlineStr">
        <is>
          <t>Measures</t>
        </is>
      </c>
      <c r="B3" t="inlineStr">
        <is>
          <t>ECM-DSP-RESET, ECM-SAT-RESET, ECM-CHILLER-LOCKOUT</t>
        </is>
      </c>
    </row>
    <row r="4">
      <c r="A4" t="inlineStr">
        <is>
          <t>Sheet order</t>
        </is>
      </c>
      <c r="B4" t="inlineStr">
        <is>
          <t>Baseline → Crosscheck → Charts → Calc_DSP → Calc_SAT → Calc_Lockout → Calc_Cost → Twin_Measures → Guardrails → Docs</t>
        </is>
      </c>
    </row>
    <row r="5">
      <c r="A5" t="inlineStr">
        <is>
          <t>Crosscheck</t>
        </is>
      </c>
      <c r="B5" t="inlineStr">
        <is>
          <t>ESCO Calc_* vs Twin vs_baseline — primary engineer eval</t>
        </is>
      </c>
    </row>
    <row r="6">
      <c r="A6" t="inlineStr">
        <is>
          <t>Cascade</t>
        </is>
      </c>
      <c r="B6" t="inlineStr">
        <is>
          <t>wattlab notebook cascade-from-twin --package g36_airside_controls --twin-run &lt;G14_run&gt; --answers &lt;answers.json&gt;</t>
        </is>
      </c>
    </row>
    <row r="7">
      <c r="A7" t="inlineStr">
        <is>
          <t>Privacy</t>
        </is>
      </c>
      <c r="B7" t="inlineStr">
        <is>
          <t>WattLab-owned formulas; not proprietary ESCO client calculators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WattLab</dc:creator>
  <dc:title xmlns:dc="http://purl.org/dc/elements/1.1/">WattLab · g36_airside_controls</dc:title>
  <dcterms:created xmlns:dcterms="http://purl.org/dc/terms/" xmlns:xsi="http://www.w3.org/2001/XMLSchema-instance" xsi:type="dcterms:W3CDTF">2026-07-27T15:04:05Z</dcterms:created>
  <dcterms:modified xmlns:dcterms="http://purl.org/dc/terms/" xmlns:xsi="http://www.w3.org/2001/XMLSchema-instance" xsi:type="dcterms:W3CDTF">2026-07-27T15:04:06Z</dcterms:modified>
</cp:coreProperties>
</file>